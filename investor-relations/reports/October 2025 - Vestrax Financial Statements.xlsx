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\Videos\Vestrax\Monthly Statements\October 2025\"/>
    </mc:Choice>
  </mc:AlternateContent>
  <xr:revisionPtr revIDLastSave="0" documentId="13_ncr:1_{6CE74780-A1A5-4DEF-9599-2B825887E7B7}" xr6:coauthVersionLast="47" xr6:coauthVersionMax="47" xr10:uidLastSave="{00000000-0000-0000-0000-000000000000}"/>
  <bookViews>
    <workbookView xWindow="-108" yWindow="-108" windowWidth="23256" windowHeight="13896" activeTab="2" xr2:uid="{8A53AD03-2F66-40E0-8517-28DDD05F18F2}"/>
  </bookViews>
  <sheets>
    <sheet name="Shareholders" sheetId="14" r:id="rId1"/>
    <sheet name="Income Statement" sheetId="16" r:id="rId2"/>
    <sheet name="Balance Sheet" sheetId="3" r:id="rId3"/>
    <sheet name="Cash Flow" sheetId="4" r:id="rId4"/>
    <sheet name="Change in Equity" sheetId="15" r:id="rId5"/>
  </sheets>
  <definedNames>
    <definedName name="solver_adj" localSheetId="0" hidden="1">Shareholders!$F$9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Shareholders!$K$14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3" l="1"/>
  <c r="B2" i="16"/>
  <c r="C8" i="16"/>
  <c r="C13" i="16"/>
  <c r="D13" i="16"/>
  <c r="D8" i="16" s="1"/>
  <c r="E13" i="16"/>
  <c r="E8" i="16" s="1"/>
  <c r="F13" i="16"/>
  <c r="F8" i="16" s="1"/>
  <c r="G13" i="16"/>
  <c r="G8" i="16" s="1"/>
  <c r="G22" i="16" s="1"/>
  <c r="H13" i="16"/>
  <c r="H8" i="16" s="1"/>
  <c r="H22" i="16" s="1"/>
  <c r="C15" i="16"/>
  <c r="C17" i="16"/>
  <c r="C57" i="16" s="1"/>
  <c r="D17" i="16"/>
  <c r="D15" i="16" s="1"/>
  <c r="E17" i="16"/>
  <c r="E15" i="16" s="1"/>
  <c r="F17" i="16"/>
  <c r="F15" i="16" s="1"/>
  <c r="G17" i="16"/>
  <c r="G15" i="16" s="1"/>
  <c r="H17" i="16"/>
  <c r="H15" i="16" s="1"/>
  <c r="C22" i="16"/>
  <c r="C23" i="16"/>
  <c r="D23" i="16"/>
  <c r="E23" i="16"/>
  <c r="F23" i="16"/>
  <c r="G23" i="16"/>
  <c r="H23" i="16"/>
  <c r="C27" i="16"/>
  <c r="C28" i="16"/>
  <c r="D28" i="16"/>
  <c r="D27" i="16" s="1"/>
  <c r="E28" i="16"/>
  <c r="E27" i="16" s="1"/>
  <c r="F28" i="16"/>
  <c r="F27" i="16" s="1"/>
  <c r="G28" i="16"/>
  <c r="G27" i="16" s="1"/>
  <c r="H28" i="16"/>
  <c r="H27" i="16" s="1"/>
  <c r="C30" i="16"/>
  <c r="C31" i="16"/>
  <c r="D31" i="16"/>
  <c r="E31" i="16"/>
  <c r="F31" i="16"/>
  <c r="G31" i="16"/>
  <c r="H31" i="16"/>
  <c r="C36" i="16"/>
  <c r="C38" i="16" s="1"/>
  <c r="C41" i="16" s="1"/>
  <c r="C45" i="16"/>
  <c r="C47" i="16" s="1"/>
  <c r="D45" i="16"/>
  <c r="E45" i="16"/>
  <c r="F45" i="16"/>
  <c r="D47" i="16" s="1"/>
  <c r="G45" i="16"/>
  <c r="H45" i="16"/>
  <c r="D50" i="16"/>
  <c r="E50" i="16"/>
  <c r="F50" i="16"/>
  <c r="G50" i="16"/>
  <c r="H50" i="16"/>
  <c r="C52" i="16"/>
  <c r="D52" i="16"/>
  <c r="E52" i="16"/>
  <c r="F52" i="16"/>
  <c r="G52" i="16"/>
  <c r="H52" i="16"/>
  <c r="C56" i="16"/>
  <c r="H57" i="16"/>
  <c r="C48" i="16" l="1"/>
  <c r="C43" i="16"/>
  <c r="C53" i="16" s="1"/>
  <c r="C46" i="16"/>
  <c r="H56" i="16"/>
  <c r="H55" i="16" s="1"/>
  <c r="H30" i="16"/>
  <c r="H36" i="16" s="1"/>
  <c r="H38" i="16" s="1"/>
  <c r="H41" i="16" s="1"/>
  <c r="C55" i="16"/>
  <c r="G56" i="16"/>
  <c r="G30" i="16"/>
  <c r="G36" i="16" s="1"/>
  <c r="G38" i="16" s="1"/>
  <c r="G41" i="16" s="1"/>
  <c r="F22" i="16"/>
  <c r="E22" i="16"/>
  <c r="D22" i="16"/>
  <c r="C50" i="16"/>
  <c r="G57" i="16"/>
  <c r="F57" i="16"/>
  <c r="E57" i="16"/>
  <c r="H47" i="16"/>
  <c r="E47" i="16"/>
  <c r="D57" i="16"/>
  <c r="G47" i="16"/>
  <c r="F47" i="16"/>
  <c r="D30" i="16" l="1"/>
  <c r="D36" i="16" s="1"/>
  <c r="D38" i="16" s="1"/>
  <c r="D41" i="16" s="1"/>
  <c r="D56" i="16"/>
  <c r="D55" i="16" s="1"/>
  <c r="E56" i="16"/>
  <c r="E55" i="16" s="1"/>
  <c r="E30" i="16"/>
  <c r="E36" i="16" s="1"/>
  <c r="E38" i="16" s="1"/>
  <c r="E41" i="16" s="1"/>
  <c r="F56" i="16"/>
  <c r="F55" i="16" s="1"/>
  <c r="F30" i="16"/>
  <c r="F36" i="16" s="1"/>
  <c r="F38" i="16" s="1"/>
  <c r="F41" i="16" s="1"/>
  <c r="G48" i="16"/>
  <c r="G43" i="16"/>
  <c r="G46" i="16"/>
  <c r="G55" i="16"/>
  <c r="H43" i="16"/>
  <c r="G51" i="16" s="1" a="1"/>
  <c r="G51" i="16" s="1"/>
  <c r="H46" i="16"/>
  <c r="H48" i="16"/>
  <c r="G53" i="16" l="1"/>
  <c r="F43" i="16"/>
  <c r="F48" i="16"/>
  <c r="F46" i="16"/>
  <c r="E48" i="16"/>
  <c r="E43" i="16"/>
  <c r="E46" i="16"/>
  <c r="D43" i="16"/>
  <c r="D46" i="16"/>
  <c r="D48" i="16"/>
  <c r="D53" i="16" l="1"/>
  <c r="C51" i="16" a="1"/>
  <c r="C51" i="16" s="1"/>
  <c r="D51" i="16" a="1"/>
  <c r="D51" i="16" s="1"/>
  <c r="E53" i="16"/>
  <c r="E51" i="16" a="1"/>
  <c r="E51" i="16" s="1"/>
  <c r="F53" i="16"/>
  <c r="F51" i="16" a="1"/>
  <c r="F51" i="16" s="1"/>
  <c r="H21" i="14" l="1"/>
  <c r="F21" i="14"/>
  <c r="H20" i="14"/>
  <c r="F20" i="14"/>
  <c r="H33" i="14"/>
  <c r="F33" i="14"/>
  <c r="H30" i="14"/>
  <c r="F30" i="14"/>
  <c r="H27" i="14"/>
  <c r="F27" i="14"/>
  <c r="D83" i="3"/>
  <c r="E83" i="3"/>
  <c r="F83" i="3"/>
  <c r="G83" i="3"/>
  <c r="H83" i="3"/>
  <c r="C83" i="3"/>
  <c r="D61" i="3"/>
  <c r="E61" i="3"/>
  <c r="F61" i="3"/>
  <c r="G61" i="3"/>
  <c r="H61" i="3"/>
  <c r="C16" i="15" l="1"/>
  <c r="D16" i="15"/>
  <c r="D23" i="15" s="1"/>
  <c r="D9" i="15"/>
  <c r="D14" i="15"/>
  <c r="D44" i="4"/>
  <c r="D41" i="4"/>
  <c r="D40" i="4"/>
  <c r="D37" i="4"/>
  <c r="D35" i="4"/>
  <c r="D32" i="4"/>
  <c r="D27" i="4"/>
  <c r="D30" i="4" s="1"/>
  <c r="D24" i="4"/>
  <c r="D20" i="4"/>
  <c r="D13" i="4"/>
  <c r="D10" i="4"/>
  <c r="D94" i="3"/>
  <c r="D107" i="3" s="1"/>
  <c r="D91" i="3"/>
  <c r="D87" i="3"/>
  <c r="D56" i="3"/>
  <c r="D52" i="3" s="1"/>
  <c r="D89" i="3" s="1"/>
  <c r="D46" i="3"/>
  <c r="D39" i="3"/>
  <c r="D32" i="3"/>
  <c r="D27" i="3"/>
  <c r="D13" i="3"/>
  <c r="D9" i="3"/>
  <c r="D47" i="4" l="1"/>
  <c r="D31" i="3"/>
  <c r="D49" i="3" s="1"/>
  <c r="D98" i="3"/>
  <c r="D100" i="3" s="1"/>
  <c r="C9" i="15"/>
  <c r="E44" i="4"/>
  <c r="E41" i="4"/>
  <c r="E40" i="4"/>
  <c r="E37" i="4"/>
  <c r="E35" i="4" s="1"/>
  <c r="E32" i="4"/>
  <c r="E27" i="4"/>
  <c r="E24" i="4"/>
  <c r="E20" i="4"/>
  <c r="E13" i="4"/>
  <c r="E94" i="3"/>
  <c r="E107" i="3" s="1"/>
  <c r="E91" i="3"/>
  <c r="E87" i="3"/>
  <c r="E56" i="3"/>
  <c r="E52" i="3" s="1"/>
  <c r="E89" i="3" s="1"/>
  <c r="E46" i="3"/>
  <c r="E39" i="3"/>
  <c r="E32" i="3"/>
  <c r="E27" i="3"/>
  <c r="E13" i="3"/>
  <c r="E9" i="3"/>
  <c r="F34" i="14"/>
  <c r="H34" i="14"/>
  <c r="E37" i="14"/>
  <c r="F25" i="14"/>
  <c r="H25" i="14"/>
  <c r="H35" i="14"/>
  <c r="F35" i="14"/>
  <c r="F29" i="14"/>
  <c r="H29" i="14"/>
  <c r="H28" i="14"/>
  <c r="F28" i="14"/>
  <c r="C13" i="3"/>
  <c r="F9" i="14"/>
  <c r="C41" i="4"/>
  <c r="E30" i="4" l="1"/>
  <c r="D18" i="14"/>
  <c r="D26" i="15"/>
  <c r="D9" i="4"/>
  <c r="D12" i="4" s="1"/>
  <c r="D18" i="4" s="1"/>
  <c r="D101" i="3"/>
  <c r="D110" i="3" s="1"/>
  <c r="D106" i="3"/>
  <c r="D104" i="3"/>
  <c r="D103" i="3"/>
  <c r="E31" i="3"/>
  <c r="E49" i="3" s="1"/>
  <c r="E47" i="4"/>
  <c r="E10" i="4"/>
  <c r="E98" i="3"/>
  <c r="E106" i="3" s="1"/>
  <c r="D19" i="14"/>
  <c r="F10" i="4"/>
  <c r="F94" i="3"/>
  <c r="F107" i="3" s="1"/>
  <c r="F91" i="3"/>
  <c r="F87" i="3"/>
  <c r="F56" i="3"/>
  <c r="F52" i="3" s="1"/>
  <c r="F89" i="3" s="1"/>
  <c r="F46" i="3"/>
  <c r="F39" i="3"/>
  <c r="F32" i="3"/>
  <c r="F27" i="3"/>
  <c r="F13" i="3"/>
  <c r="F9" i="3"/>
  <c r="F44" i="4"/>
  <c r="F41" i="4"/>
  <c r="F40" i="4" s="1"/>
  <c r="F37" i="4"/>
  <c r="F35" i="4" s="1"/>
  <c r="F32" i="4"/>
  <c r="F27" i="4"/>
  <c r="F24" i="4"/>
  <c r="F20" i="4"/>
  <c r="F13" i="4"/>
  <c r="F23" i="14"/>
  <c r="F24" i="14"/>
  <c r="F26" i="14"/>
  <c r="F31" i="14"/>
  <c r="F32" i="14"/>
  <c r="H23" i="14"/>
  <c r="H24" i="14"/>
  <c r="H26" i="14"/>
  <c r="H31" i="14"/>
  <c r="H32" i="14"/>
  <c r="H45" i="4"/>
  <c r="D49" i="4" l="1"/>
  <c r="D50" i="4" s="1"/>
  <c r="D51" i="4" s="1"/>
  <c r="D48" i="4"/>
  <c r="E9" i="4"/>
  <c r="E12" i="4" s="1"/>
  <c r="E18" i="4" s="1"/>
  <c r="E100" i="3"/>
  <c r="E101" i="3" s="1"/>
  <c r="E110" i="3" s="1"/>
  <c r="E103" i="3"/>
  <c r="F31" i="3"/>
  <c r="F49" i="3" s="1"/>
  <c r="E104" i="3"/>
  <c r="F47" i="4"/>
  <c r="F30" i="4"/>
  <c r="F98" i="3"/>
  <c r="F106" i="3" s="1"/>
  <c r="E48" i="4" l="1"/>
  <c r="E49" i="4"/>
  <c r="E50" i="4" s="1"/>
  <c r="E51" i="4" s="1"/>
  <c r="E26" i="15"/>
  <c r="F100" i="3"/>
  <c r="F101" i="3" s="1"/>
  <c r="F110" i="3" s="1"/>
  <c r="F103" i="3"/>
  <c r="F104" i="3"/>
  <c r="F9" i="4"/>
  <c r="F12" i="4" s="1"/>
  <c r="F18" i="4" s="1"/>
  <c r="H36" i="15"/>
  <c r="G34" i="15" s="1"/>
  <c r="H32" i="15"/>
  <c r="G25" i="15" s="1"/>
  <c r="G32" i="15" s="1"/>
  <c r="F25" i="15" s="1"/>
  <c r="H23" i="15"/>
  <c r="G16" i="15" s="1"/>
  <c r="G23" i="15" s="1"/>
  <c r="F16" i="15" s="1"/>
  <c r="H14" i="15"/>
  <c r="G9" i="15" s="1"/>
  <c r="G14" i="15" s="1"/>
  <c r="B2" i="15"/>
  <c r="F9" i="15" l="1"/>
  <c r="F14" i="15" s="1"/>
  <c r="E9" i="15" s="1"/>
  <c r="E14" i="15" s="1"/>
  <c r="F23" i="15"/>
  <c r="E16" i="15" s="1"/>
  <c r="E23" i="15" s="1"/>
  <c r="G36" i="15"/>
  <c r="F34" i="15" s="1"/>
  <c r="F36" i="15"/>
  <c r="E34" i="15" s="1"/>
  <c r="E36" i="15" s="1"/>
  <c r="F48" i="4"/>
  <c r="F49" i="4"/>
  <c r="F50" i="4" s="1"/>
  <c r="F51" i="4" s="1"/>
  <c r="F26" i="15"/>
  <c r="F32" i="15" s="1"/>
  <c r="E25" i="15" s="1"/>
  <c r="E32" i="15" s="1"/>
  <c r="D25" i="15" s="1"/>
  <c r="D32" i="15" s="1"/>
  <c r="H37" i="15"/>
  <c r="G37" i="15"/>
  <c r="C25" i="15" l="1"/>
  <c r="D37" i="15"/>
  <c r="E37" i="15"/>
  <c r="C14" i="15"/>
  <c r="F37" i="15"/>
  <c r="F40" i="15" s="1"/>
  <c r="B2" i="4"/>
  <c r="B2" i="3"/>
  <c r="H27" i="3"/>
  <c r="G27" i="3"/>
  <c r="C27" i="3"/>
  <c r="E40" i="15" l="1"/>
  <c r="D34" i="15"/>
  <c r="D36" i="15" s="1"/>
  <c r="C34" i="15"/>
  <c r="C36" i="15" s="1"/>
  <c r="D40" i="15"/>
  <c r="C23" i="15"/>
  <c r="H44" i="4"/>
  <c r="H41" i="4"/>
  <c r="H40" i="4" s="1"/>
  <c r="H37" i="4"/>
  <c r="H35" i="4" s="1"/>
  <c r="H32" i="4"/>
  <c r="H27" i="4"/>
  <c r="H24" i="4"/>
  <c r="H20" i="4"/>
  <c r="H13" i="4"/>
  <c r="G44" i="4"/>
  <c r="G41" i="4"/>
  <c r="G40" i="4" s="1"/>
  <c r="G37" i="4"/>
  <c r="G35" i="4" s="1"/>
  <c r="G32" i="4"/>
  <c r="G27" i="4"/>
  <c r="G24" i="4"/>
  <c r="G20" i="4"/>
  <c r="G13" i="4"/>
  <c r="G10" i="4"/>
  <c r="G56" i="3"/>
  <c r="G46" i="3"/>
  <c r="H46" i="3"/>
  <c r="C46" i="3"/>
  <c r="H47" i="4" l="1"/>
  <c r="G47" i="4"/>
  <c r="G30" i="4"/>
  <c r="H30" i="4"/>
  <c r="H94" i="3" l="1"/>
  <c r="H107" i="3" s="1"/>
  <c r="H91" i="3"/>
  <c r="H87" i="3"/>
  <c r="H56" i="3"/>
  <c r="H52" i="3" s="1"/>
  <c r="H89" i="3" s="1"/>
  <c r="H39" i="3"/>
  <c r="H32" i="3"/>
  <c r="H13" i="3"/>
  <c r="H9" i="3"/>
  <c r="G94" i="3"/>
  <c r="G107" i="3" s="1"/>
  <c r="G91" i="3"/>
  <c r="G87" i="3"/>
  <c r="G52" i="3"/>
  <c r="G89" i="3" s="1"/>
  <c r="G39" i="3"/>
  <c r="G32" i="3"/>
  <c r="G13" i="3"/>
  <c r="G9" i="3"/>
  <c r="C37" i="14"/>
  <c r="H22" i="14"/>
  <c r="F22" i="14"/>
  <c r="H17" i="14"/>
  <c r="F17" i="14"/>
  <c r="F12" i="14"/>
  <c r="G10" i="14"/>
  <c r="G9" i="14"/>
  <c r="J8" i="14"/>
  <c r="J9" i="14" s="1"/>
  <c r="G8" i="14"/>
  <c r="C87" i="3"/>
  <c r="C39" i="3"/>
  <c r="C32" i="3"/>
  <c r="G21" i="14" l="1"/>
  <c r="G20" i="14"/>
  <c r="G33" i="14"/>
  <c r="G30" i="14"/>
  <c r="G27" i="14"/>
  <c r="G34" i="14"/>
  <c r="G25" i="14"/>
  <c r="G35" i="14"/>
  <c r="G29" i="14"/>
  <c r="G28" i="14"/>
  <c r="G23" i="14"/>
  <c r="G24" i="14"/>
  <c r="G32" i="14"/>
  <c r="G26" i="14"/>
  <c r="G31" i="14"/>
  <c r="G12" i="14"/>
  <c r="H8" i="14" s="1"/>
  <c r="J10" i="14"/>
  <c r="J21" i="14" s="1"/>
  <c r="G17" i="14"/>
  <c r="G22" i="14"/>
  <c r="H10" i="4"/>
  <c r="H98" i="3"/>
  <c r="H106" i="3" s="1"/>
  <c r="G31" i="3"/>
  <c r="G49" i="3" s="1"/>
  <c r="G98" i="3"/>
  <c r="G106" i="3" s="1"/>
  <c r="H31" i="3"/>
  <c r="H49" i="3" s="1"/>
  <c r="C31" i="3"/>
  <c r="J20" i="14" l="1"/>
  <c r="J33" i="14"/>
  <c r="J30" i="14"/>
  <c r="J27" i="14"/>
  <c r="J34" i="14"/>
  <c r="J25" i="14"/>
  <c r="J35" i="14"/>
  <c r="J29" i="14"/>
  <c r="J28" i="14"/>
  <c r="H19" i="14"/>
  <c r="F19" i="14"/>
  <c r="G19" i="14" s="1"/>
  <c r="H18" i="14"/>
  <c r="F18" i="14"/>
  <c r="D37" i="14"/>
  <c r="H9" i="14"/>
  <c r="J23" i="14"/>
  <c r="J24" i="14"/>
  <c r="J26" i="14"/>
  <c r="H10" i="14"/>
  <c r="J19" i="14"/>
  <c r="J31" i="14"/>
  <c r="H12" i="14"/>
  <c r="J17" i="14"/>
  <c r="J12" i="14"/>
  <c r="J22" i="14"/>
  <c r="J32" i="14"/>
  <c r="J18" i="14"/>
  <c r="H104" i="3"/>
  <c r="H103" i="3"/>
  <c r="G104" i="3"/>
  <c r="G103" i="3"/>
  <c r="G100" i="3"/>
  <c r="H100" i="3"/>
  <c r="J37" i="14" l="1"/>
  <c r="H37" i="14"/>
  <c r="F37" i="14"/>
  <c r="G37" i="14" s="1"/>
  <c r="G18" i="14"/>
  <c r="H101" i="3"/>
  <c r="H110" i="3" s="1"/>
  <c r="H40" i="15"/>
  <c r="G101" i="3"/>
  <c r="G110" i="3" s="1"/>
  <c r="G40" i="15"/>
  <c r="G9" i="4"/>
  <c r="G12" i="4" s="1"/>
  <c r="G18" i="4" s="1"/>
  <c r="G49" i="4" s="1"/>
  <c r="G50" i="4" s="1"/>
  <c r="G51" i="4" s="1"/>
  <c r="H9" i="4"/>
  <c r="H12" i="4" s="1"/>
  <c r="H18" i="4" s="1"/>
  <c r="H49" i="4" s="1"/>
  <c r="H50" i="4" s="1"/>
  <c r="H51" i="4" s="1"/>
  <c r="C37" i="4"/>
  <c r="C35" i="4" s="1"/>
  <c r="C20" i="4"/>
  <c r="C9" i="3"/>
  <c r="C44" i="4"/>
  <c r="C40" i="4"/>
  <c r="C32" i="4"/>
  <c r="C27" i="4"/>
  <c r="C24" i="4"/>
  <c r="C13" i="4"/>
  <c r="C94" i="3"/>
  <c r="C107" i="3" s="1"/>
  <c r="C91" i="3"/>
  <c r="C56" i="3"/>
  <c r="C52" i="3" s="1"/>
  <c r="I20" i="14" l="1"/>
  <c r="I21" i="14"/>
  <c r="I30" i="14"/>
  <c r="I33" i="14"/>
  <c r="I34" i="14"/>
  <c r="I27" i="14"/>
  <c r="I25" i="14"/>
  <c r="I19" i="14"/>
  <c r="I35" i="14"/>
  <c r="I29" i="14"/>
  <c r="I26" i="14"/>
  <c r="I32" i="14"/>
  <c r="I18" i="14"/>
  <c r="I28" i="14"/>
  <c r="I31" i="14"/>
  <c r="I24" i="14"/>
  <c r="I22" i="14"/>
  <c r="I17" i="14"/>
  <c r="I23" i="14"/>
  <c r="C47" i="4"/>
  <c r="G48" i="4"/>
  <c r="H48" i="4"/>
  <c r="C10" i="4"/>
  <c r="C98" i="3"/>
  <c r="C30" i="4"/>
  <c r="I37" i="14" l="1"/>
  <c r="C100" i="3"/>
  <c r="C106" i="3"/>
  <c r="C9" i="4"/>
  <c r="C12" i="4" l="1"/>
  <c r="C18" i="4" s="1"/>
  <c r="C26" i="15" l="1"/>
  <c r="C32" i="15" s="1"/>
  <c r="C49" i="4"/>
  <c r="C50" i="4" s="1"/>
  <c r="C51" i="4" s="1"/>
  <c r="C48" i="4"/>
  <c r="C37" i="15" l="1"/>
  <c r="C40" i="15" s="1"/>
  <c r="C61" i="3"/>
  <c r="C89" i="3" s="1"/>
  <c r="C103" i="3" l="1"/>
  <c r="C104" i="3"/>
  <c r="C101" i="3"/>
  <c r="C1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<sst xmlns="http://schemas.openxmlformats.org/spreadsheetml/2006/main" count="293" uniqueCount="237">
  <si>
    <t>Depreciation &amp; Amortization Expense</t>
  </si>
  <si>
    <t>EBIT</t>
  </si>
  <si>
    <t>EBITDA</t>
  </si>
  <si>
    <t>Payout Ratio</t>
  </si>
  <si>
    <t>Dividends per Share</t>
  </si>
  <si>
    <t>Total Shares Outstanding</t>
  </si>
  <si>
    <t>Diluted Shares Outstanding</t>
  </si>
  <si>
    <t>EPS (diluted)</t>
  </si>
  <si>
    <t>Basic Shares Outstanding</t>
  </si>
  <si>
    <t>EPS (basic)</t>
  </si>
  <si>
    <t>Per Share</t>
  </si>
  <si>
    <t>Net Income available to Common</t>
  </si>
  <si>
    <t>Preferred Dividends</t>
  </si>
  <si>
    <t>Net Income</t>
  </si>
  <si>
    <t>Minority Interest</t>
  </si>
  <si>
    <t>Consolidated Net Income</t>
  </si>
  <si>
    <t>Income Tax - Deferred - Foreign</t>
  </si>
  <si>
    <t>Income Tax - Deferred - Domestic</t>
  </si>
  <si>
    <t>Income Tax - Current - Foreign</t>
  </si>
  <si>
    <t>Income Tax - Current - Domestic</t>
  </si>
  <si>
    <t>Income Taxes</t>
  </si>
  <si>
    <t>Pretax Income</t>
  </si>
  <si>
    <t>Financial Fixed Assets</t>
  </si>
  <si>
    <t>Impairments</t>
  </si>
  <si>
    <t>Unusual Expense - Net</t>
  </si>
  <si>
    <t>Miscellaneous Nonoperating Expense</t>
  </si>
  <si>
    <t>Total Interest Expense</t>
  </si>
  <si>
    <t>Non-Operating Interest Income</t>
  </si>
  <si>
    <t>Nonoperating Income</t>
  </si>
  <si>
    <t>Operating Income</t>
  </si>
  <si>
    <t>Other Operating Expense</t>
  </si>
  <si>
    <t>Cost of Goods Sold excluding D&amp;A</t>
  </si>
  <si>
    <t>Amortization of Intangibles</t>
  </si>
  <si>
    <t>Depreciation</t>
  </si>
  <si>
    <t>Selling, General &amp; Admin. Expenses</t>
  </si>
  <si>
    <t>Total Expense</t>
  </si>
  <si>
    <t>Commission &amp; Fee Income</t>
  </si>
  <si>
    <t>Trust Income, Commissions &amp; Fees</t>
  </si>
  <si>
    <t>Trading Account Income</t>
  </si>
  <si>
    <t>Sundry Revenue/Income</t>
  </si>
  <si>
    <t>Interest Income</t>
  </si>
  <si>
    <t>Investment Income</t>
  </si>
  <si>
    <t>Sales</t>
  </si>
  <si>
    <t>Tangible Book Value per Share</t>
  </si>
  <si>
    <t>Book Value per Share</t>
  </si>
  <si>
    <t>Total Liabilities &amp; Shareholders' Equity</t>
  </si>
  <si>
    <t>Total Equity</t>
  </si>
  <si>
    <t>Accumulated Minority Interest</t>
  </si>
  <si>
    <t>Total Shareholders' Equity</t>
  </si>
  <si>
    <t>Retained Earnings</t>
  </si>
  <si>
    <t>Additional Paid-In Capital/Capital Surplus</t>
  </si>
  <si>
    <t>Common Stock Par/Carry Value</t>
  </si>
  <si>
    <t>Common Equity</t>
  </si>
  <si>
    <t>Non-Redeemable Preferred Stock</t>
  </si>
  <si>
    <t>Redeemable Preferred Stock</t>
  </si>
  <si>
    <t>Preferred Stock (Carrying Value)</t>
  </si>
  <si>
    <t>Equity</t>
  </si>
  <si>
    <t>Total Liabilities</t>
  </si>
  <si>
    <t>Other Liabilities (excl. Deferred Income)</t>
  </si>
  <si>
    <t>Other Liabilities</t>
  </si>
  <si>
    <t>Deferred Tax Liabilities</t>
  </si>
  <si>
    <t>Provision for Risks &amp; Charges</t>
  </si>
  <si>
    <t>Capital and Operating Lease Obligations</t>
  </si>
  <si>
    <t>Long-Term Debt excl Lease Obligations</t>
  </si>
  <si>
    <t>Long-Term Debt</t>
  </si>
  <si>
    <t>ST Debt &amp; Curr. Portion LT Debt</t>
  </si>
  <si>
    <t>Total Debt</t>
  </si>
  <si>
    <t>Liabilities</t>
  </si>
  <si>
    <t>Liabilities &amp; Shareholders' Equity</t>
  </si>
  <si>
    <t>Total Assets</t>
  </si>
  <si>
    <t>Intangible Assets</t>
  </si>
  <si>
    <t>Tangible Other Assets</t>
  </si>
  <si>
    <t>Other Assets</t>
  </si>
  <si>
    <t>Deferred Tax Assets</t>
  </si>
  <si>
    <t>Net Property, Plant &amp; Equipment</t>
  </si>
  <si>
    <t>Investment in Unconsolidated Subs.</t>
  </si>
  <si>
    <t>Other Investments</t>
  </si>
  <si>
    <t>Investments</t>
  </si>
  <si>
    <t>Short-Term Receivables</t>
  </si>
  <si>
    <t>Cash Only</t>
  </si>
  <si>
    <t>Cash &amp; Short-Term Investments</t>
  </si>
  <si>
    <t>Assets</t>
  </si>
  <si>
    <t>Free Cash Flow Yield (%)</t>
  </si>
  <si>
    <t>Free Cash Flow per Share</t>
  </si>
  <si>
    <t>Free Cash Flow</t>
  </si>
  <si>
    <t>Net Change in Cash</t>
  </si>
  <si>
    <t>Financing Cash Flow</t>
  </si>
  <si>
    <t>Other Sources</t>
  </si>
  <si>
    <t>Other Uses</t>
  </si>
  <si>
    <t>Other Funds</t>
  </si>
  <si>
    <t>Reduction in Long-Term Debt</t>
  </si>
  <si>
    <t>Issuance of Long-Term Debt</t>
  </si>
  <si>
    <t>Change in Long-Term Debt</t>
  </si>
  <si>
    <t>Issuance/Reduction of Debt, Net</t>
  </si>
  <si>
    <t>Proceeds from Sale of Stock</t>
  </si>
  <si>
    <t>Sale of Common &amp; Preferred Stock</t>
  </si>
  <si>
    <t>Repurchase of Common &amp; Preferred Stk.</t>
  </si>
  <si>
    <t>Change in Capital Stock</t>
  </si>
  <si>
    <t>Common Dividends</t>
  </si>
  <si>
    <t>Cash Dividends Paid</t>
  </si>
  <si>
    <t>Financing Activities</t>
  </si>
  <si>
    <t>Net Investing Cash Flow</t>
  </si>
  <si>
    <t>Sale/Maturity of Investments</t>
  </si>
  <si>
    <t>Purchase of Investments</t>
  </si>
  <si>
    <t>Purchase/Sale of Investments</t>
  </si>
  <si>
    <t>Net Assets from Acquisitions</t>
  </si>
  <si>
    <t>Capital Expenditures (Fixed Assets)</t>
  </si>
  <si>
    <t>Capital Expenditures</t>
  </si>
  <si>
    <t>Investing Activities</t>
  </si>
  <si>
    <t>Net Operating Cash Flow</t>
  </si>
  <si>
    <t>Other Assets/Liabilities</t>
  </si>
  <si>
    <t>Other Accruals</t>
  </si>
  <si>
    <t>Accounts Payable</t>
  </si>
  <si>
    <t>Receivables</t>
  </si>
  <si>
    <t>Changes in Working Capital</t>
  </si>
  <si>
    <t>Funds from Operations</t>
  </si>
  <si>
    <t>Operating Activities</t>
  </si>
  <si>
    <t>Vestrax Financial Holdings Corp (VFH)</t>
  </si>
  <si>
    <t>Vestrax Financial Holdings Corp</t>
  </si>
  <si>
    <t xml:space="preserve">VFH   CRBSE   Common stock    </t>
  </si>
  <si>
    <t>All figures in thousands of SWC except per share items.</t>
  </si>
  <si>
    <t>Total Short-Term Investments</t>
  </si>
  <si>
    <t>---</t>
  </si>
  <si>
    <t>Depreciation, Depletion &amp; Amortization</t>
  </si>
  <si>
    <t>Net Income / Starting Line</t>
  </si>
  <si>
    <t>Capital Expenditures (Other Assets)</t>
  </si>
  <si>
    <t>Proceeds from Stock Options</t>
  </si>
  <si>
    <t>Investment A</t>
  </si>
  <si>
    <t>Investment B</t>
  </si>
  <si>
    <t>Investment C</t>
  </si>
  <si>
    <t>Investor Capital</t>
  </si>
  <si>
    <t>Investor Capital Liability - Crezyman</t>
  </si>
  <si>
    <t>Investor Capital Liability - ArchIsHot</t>
  </si>
  <si>
    <t>Investor Capital Liability - Koninow</t>
  </si>
  <si>
    <t>Investor Capital Liability - Noisorl</t>
  </si>
  <si>
    <t>Investor Capital Liability - nightn_</t>
  </si>
  <si>
    <t>Investor Capital Liability - RealLoganP</t>
  </si>
  <si>
    <t>Investor Capital Liability - Skywalker234</t>
  </si>
  <si>
    <t>Investor Capital Liability - Bagguete3</t>
  </si>
  <si>
    <t>Dividend Payable</t>
  </si>
  <si>
    <t>Common Stock</t>
  </si>
  <si>
    <t>Raw Materials</t>
  </si>
  <si>
    <t>Work in Progress</t>
  </si>
  <si>
    <t>Finished Goods</t>
  </si>
  <si>
    <t>Buildings</t>
  </si>
  <si>
    <t>Inventories</t>
  </si>
  <si>
    <t>Property, Plant &amp; Equipment - Gross</t>
  </si>
  <si>
    <t>Land &amp; Improvements</t>
  </si>
  <si>
    <t>Machinery &amp; Equipment</t>
  </si>
  <si>
    <t>Construction in Progress</t>
  </si>
  <si>
    <t>Other Property, Plant &amp; Equipment</t>
  </si>
  <si>
    <t>Operating Lease Right-of-Use Assets</t>
  </si>
  <si>
    <t>Accumulated Depreciation</t>
  </si>
  <si>
    <t>NAV</t>
  </si>
  <si>
    <t>Declared Dividends</t>
  </si>
  <si>
    <t>Dividends</t>
  </si>
  <si>
    <t>Shareholder Classification</t>
  </si>
  <si>
    <t>Type</t>
  </si>
  <si>
    <t>Par Value</t>
  </si>
  <si>
    <t>Voting Power</t>
  </si>
  <si>
    <t>Total  Shares</t>
  </si>
  <si>
    <t>Total Voting Power</t>
  </si>
  <si>
    <t>Voting %</t>
  </si>
  <si>
    <t>Dividend Type</t>
  </si>
  <si>
    <t>Class C</t>
  </si>
  <si>
    <t>Preferred</t>
  </si>
  <si>
    <t>Class B</t>
  </si>
  <si>
    <t>Voting</t>
  </si>
  <si>
    <t>Standard</t>
  </si>
  <si>
    <t>Class A</t>
  </si>
  <si>
    <t>Common</t>
  </si>
  <si>
    <t>Totals</t>
  </si>
  <si>
    <t>Ownership</t>
  </si>
  <si>
    <t>Total Owned</t>
  </si>
  <si>
    <t>% Ownership</t>
  </si>
  <si>
    <t>% Voting</t>
  </si>
  <si>
    <t>Vestrax (Non-authorized)</t>
  </si>
  <si>
    <t>brainstormkid</t>
  </si>
  <si>
    <t>Crimson Bank</t>
  </si>
  <si>
    <t>deadbymonday</t>
  </si>
  <si>
    <t>EPS (Average)</t>
  </si>
  <si>
    <t>Total Average Shares Outstanding</t>
  </si>
  <si>
    <t>Earnings Persistence (basic)</t>
  </si>
  <si>
    <t>Net Asset Value</t>
  </si>
  <si>
    <t>Net Asset Value (excl. Investor Capital)</t>
  </si>
  <si>
    <t>Stock Price</t>
  </si>
  <si>
    <t>Beginning of Period</t>
  </si>
  <si>
    <t>End of Period</t>
  </si>
  <si>
    <t>Additional Paid-In Capital</t>
  </si>
  <si>
    <t>Accumulated Other Comprehensive Income (Loss)</t>
  </si>
  <si>
    <t>Issuance of Common Stock</t>
  </si>
  <si>
    <t>Share-based Compensation</t>
  </si>
  <si>
    <t>Stock Dividends</t>
  </si>
  <si>
    <t>Additional Investment</t>
  </si>
  <si>
    <t>Investor Liability Income</t>
  </si>
  <si>
    <t>Sale of Treasury Stock</t>
  </si>
  <si>
    <t>Other comprehensive income</t>
  </si>
  <si>
    <t>fickogames</t>
  </si>
  <si>
    <t>Maestro Inc.</t>
  </si>
  <si>
    <t>Binkusthe1st</t>
  </si>
  <si>
    <t>Hamburger___Man</t>
  </si>
  <si>
    <t>ArchIsHot</t>
  </si>
  <si>
    <t>Pan_mako</t>
  </si>
  <si>
    <t>Andliria</t>
  </si>
  <si>
    <t>Investor Capital Liability - byebyeplayboy</t>
  </si>
  <si>
    <t>Investment D</t>
  </si>
  <si>
    <t>Investor Capital Liability - RuniqueWeitza</t>
  </si>
  <si>
    <t>Investment E</t>
  </si>
  <si>
    <t>Investment F</t>
  </si>
  <si>
    <t>Investment G</t>
  </si>
  <si>
    <t>Investment H</t>
  </si>
  <si>
    <t>Investor Capital Liability - cszpo</t>
  </si>
  <si>
    <t>Investment I</t>
  </si>
  <si>
    <t>Krasnoi</t>
  </si>
  <si>
    <t>SovietSeal</t>
  </si>
  <si>
    <t>Dvusi</t>
  </si>
  <si>
    <t>Frangoooo</t>
  </si>
  <si>
    <t xml:space="preserve">VickiOutlaw </t>
  </si>
  <si>
    <t>Investor Capital Liability - chateudrc</t>
  </si>
  <si>
    <t>Investor Capital Liability - pingarelho</t>
  </si>
  <si>
    <t>Invesmtnet J</t>
  </si>
  <si>
    <t>Investor Capital Liability - Infonix</t>
  </si>
  <si>
    <t>Investment K</t>
  </si>
  <si>
    <t>Investor Capital Liability - Avalonest</t>
  </si>
  <si>
    <t>Investor Capital Liability - GreenBeanZ_</t>
  </si>
  <si>
    <t>Investor Capital Liability - dred</t>
  </si>
  <si>
    <t>Investor Capital Liability - All_in_one19</t>
  </si>
  <si>
    <t>Investor Capital Liability - Cmax</t>
  </si>
  <si>
    <t>Investor Capital Liability - st.ph1lip</t>
  </si>
  <si>
    <t>Investor Capital Liability - Pan_mako</t>
  </si>
  <si>
    <t>Investor Capital Liability - CrimsonBank</t>
  </si>
  <si>
    <t>Investor Capital Liability - Swift_Master</t>
  </si>
  <si>
    <t>Investor Capital Liability - RanSid</t>
  </si>
  <si>
    <t>Closed Accounts</t>
  </si>
  <si>
    <t>Alphie279</t>
  </si>
  <si>
    <t>__Duster</t>
  </si>
  <si>
    <t xml:space="preserve">Mr_Stoecki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</si>
</sst>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#,##0.0"/>
    <numFmt numFmtId="166" formatCode="#,##0.000000000"/>
    <numFmt numFmtId="167" formatCode="#,##0.000000000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3" tint="9.9978637043366805E-2"/>
      <name val="Arial"/>
      <family val="2"/>
    </font>
    <font>
      <b/>
      <sz val="10"/>
      <color theme="4" tint="-0.249977111117893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" fillId="0" borderId="0"/>
    <xf numFmtId="44" fontId="7" fillId="0" borderId="0" applyFont="0" applyFill="0" applyBorder="0" applyAlignment="0" applyProtection="0"/>
    <xf numFmtId="0" fontId="7" fillId="0" borderId="0"/>
  </cellStyleXfs>
  <cellXfs count="103">
    <xf numFmtId="0" fontId="0" fillId="0" borderId="0" xfId="0"/>
    <xf numFmtId="0" fontId="2" fillId="0" borderId="0" xfId="1"/>
    <xf numFmtId="0" fontId="3" fillId="0" borderId="0" xfId="1" applyFont="1" applyAlignment="1">
      <alignment horizontal="left"/>
    </xf>
    <xf numFmtId="3" fontId="2" fillId="2" borderId="0" xfId="1" applyNumberFormat="1" applyFill="1" applyAlignment="1">
      <alignment horizontal="right"/>
    </xf>
    <xf numFmtId="0" fontId="2" fillId="2" borderId="0" xfId="1" applyFill="1" applyAlignment="1">
      <alignment horizontal="left" indent="4"/>
    </xf>
    <xf numFmtId="3" fontId="2" fillId="0" borderId="0" xfId="1" applyNumberFormat="1" applyAlignment="1">
      <alignment horizontal="right"/>
    </xf>
    <xf numFmtId="0" fontId="2" fillId="0" borderId="0" xfId="1" applyAlignment="1">
      <alignment horizontal="left" indent="4"/>
    </xf>
    <xf numFmtId="3" fontId="5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left" indent="3"/>
    </xf>
    <xf numFmtId="0" fontId="5" fillId="0" borderId="0" xfId="1" applyFont="1" applyAlignment="1">
      <alignment horizontal="left"/>
    </xf>
    <xf numFmtId="4" fontId="2" fillId="2" borderId="0" xfId="1" applyNumberFormat="1" applyFill="1" applyAlignment="1">
      <alignment horizontal="right"/>
    </xf>
    <xf numFmtId="4" fontId="5" fillId="0" borderId="0" xfId="1" applyNumberFormat="1" applyFont="1" applyAlignment="1">
      <alignment horizontal="right"/>
    </xf>
    <xf numFmtId="0" fontId="5" fillId="0" borderId="0" xfId="1" applyFont="1" applyAlignment="1">
      <alignment horizontal="left" indent="3"/>
    </xf>
    <xf numFmtId="0" fontId="2" fillId="2" borderId="0" xfId="1" applyFill="1" applyAlignment="1">
      <alignment horizontal="left" indent="1"/>
    </xf>
    <xf numFmtId="4" fontId="2" fillId="0" borderId="0" xfId="1" applyNumberFormat="1" applyAlignment="1">
      <alignment horizontal="right"/>
    </xf>
    <xf numFmtId="4" fontId="5" fillId="2" borderId="0" xfId="1" applyNumberFormat="1" applyFont="1" applyFill="1" applyAlignment="1">
      <alignment horizontal="right"/>
    </xf>
    <xf numFmtId="0" fontId="2" fillId="0" borderId="0" xfId="1" applyAlignment="1">
      <alignment horizontal="left" indent="1"/>
    </xf>
    <xf numFmtId="0" fontId="5" fillId="2" borderId="0" xfId="1" applyFont="1" applyFill="1" applyAlignment="1">
      <alignment horizontal="left"/>
    </xf>
    <xf numFmtId="3" fontId="5" fillId="0" borderId="0" xfId="1" applyNumberFormat="1" applyFont="1" applyAlignment="1">
      <alignment horizontal="right"/>
    </xf>
    <xf numFmtId="0" fontId="2" fillId="0" borderId="0" xfId="1" applyAlignment="1">
      <alignment horizontal="left"/>
    </xf>
    <xf numFmtId="0" fontId="2" fillId="2" borderId="0" xfId="1" applyFill="1" applyAlignment="1">
      <alignment horizontal="left" indent="7"/>
    </xf>
    <xf numFmtId="0" fontId="5" fillId="0" borderId="0" xfId="1" applyFont="1" applyAlignment="1">
      <alignment horizontal="left" indent="6"/>
    </xf>
    <xf numFmtId="0" fontId="6" fillId="3" borderId="0" xfId="1" applyFont="1" applyFill="1" applyAlignment="1">
      <alignment horizontal="left"/>
    </xf>
    <xf numFmtId="0" fontId="2" fillId="0" borderId="1" xfId="1" applyBorder="1"/>
    <xf numFmtId="0" fontId="2" fillId="0" borderId="0" xfId="1" applyAlignment="1">
      <alignment horizontal="left" indent="7"/>
    </xf>
    <xf numFmtId="0" fontId="5" fillId="2" borderId="0" xfId="1" applyFont="1" applyFill="1" applyAlignment="1">
      <alignment horizontal="left" indent="6"/>
    </xf>
    <xf numFmtId="0" fontId="2" fillId="0" borderId="0" xfId="1" applyAlignment="1">
      <alignment horizontal="left" indent="10"/>
    </xf>
    <xf numFmtId="0" fontId="2" fillId="2" borderId="0" xfId="1" applyFill="1" applyAlignment="1">
      <alignment horizontal="left" indent="10"/>
    </xf>
    <xf numFmtId="0" fontId="5" fillId="0" borderId="0" xfId="1" applyFont="1" applyAlignment="1">
      <alignment horizontal="left" indent="9"/>
    </xf>
    <xf numFmtId="14" fontId="6" fillId="3" borderId="0" xfId="2" applyNumberFormat="1" applyFont="1" applyFill="1" applyAlignment="1">
      <alignment horizontal="left"/>
    </xf>
    <xf numFmtId="3" fontId="4" fillId="5" borderId="0" xfId="1" applyNumberFormat="1" applyFont="1" applyFill="1" applyAlignment="1">
      <alignment horizontal="right"/>
    </xf>
    <xf numFmtId="3" fontId="2" fillId="5" borderId="0" xfId="1" applyNumberFormat="1" applyFill="1" applyAlignment="1">
      <alignment horizontal="right"/>
    </xf>
    <xf numFmtId="4" fontId="2" fillId="5" borderId="0" xfId="1" applyNumberFormat="1" applyFill="1" applyAlignment="1">
      <alignment horizontal="right"/>
    </xf>
    <xf numFmtId="0" fontId="5" fillId="2" borderId="0" xfId="2" applyFont="1" applyFill="1" applyAlignment="1">
      <alignment horizontal="left" indent="3"/>
    </xf>
    <xf numFmtId="3" fontId="2" fillId="6" borderId="0" xfId="1" applyNumberFormat="1" applyFill="1" applyAlignment="1">
      <alignment horizontal="right"/>
    </xf>
    <xf numFmtId="4" fontId="2" fillId="0" borderId="0" xfId="1" applyNumberFormat="1"/>
    <xf numFmtId="0" fontId="2" fillId="0" borderId="4" xfId="1" applyBorder="1"/>
    <xf numFmtId="44" fontId="0" fillId="0" borderId="0" xfId="4" applyFont="1"/>
    <xf numFmtId="0" fontId="8" fillId="0" borderId="0" xfId="0" applyFont="1"/>
    <xf numFmtId="44" fontId="0" fillId="0" borderId="0" xfId="0" applyNumberFormat="1"/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4"/>
    </xf>
    <xf numFmtId="0" fontId="1" fillId="4" borderId="0" xfId="0" applyFont="1" applyFill="1" applyAlignment="1">
      <alignment horizontal="left"/>
    </xf>
    <xf numFmtId="164" fontId="0" fillId="0" borderId="3" xfId="4" applyNumberFormat="1" applyFont="1" applyBorder="1" applyAlignment="1">
      <alignment horizontal="left"/>
    </xf>
    <xf numFmtId="0" fontId="0" fillId="0" borderId="3" xfId="0" applyBorder="1"/>
    <xf numFmtId="10" fontId="0" fillId="0" borderId="0" xfId="5" applyNumberFormat="1" applyFont="1"/>
    <xf numFmtId="44" fontId="0" fillId="5" borderId="0" xfId="4" applyFont="1" applyFill="1"/>
    <xf numFmtId="43" fontId="0" fillId="0" borderId="0" xfId="3" applyFont="1"/>
    <xf numFmtId="44" fontId="0" fillId="0" borderId="0" xfId="0" applyNumberFormat="1" applyAlignment="1">
      <alignment horizontal="right"/>
    </xf>
    <xf numFmtId="43" fontId="0" fillId="0" borderId="0" xfId="0" applyNumberFormat="1"/>
    <xf numFmtId="4" fontId="2" fillId="7" borderId="0" xfId="1" applyNumberFormat="1" applyFill="1" applyAlignment="1">
      <alignment horizontal="right"/>
    </xf>
    <xf numFmtId="0" fontId="5" fillId="0" borderId="0" xfId="2" applyFont="1" applyAlignment="1">
      <alignment horizontal="left" indent="3"/>
    </xf>
    <xf numFmtId="0" fontId="2" fillId="2" borderId="0" xfId="2" applyFill="1" applyAlignment="1">
      <alignment horizontal="left" indent="4"/>
    </xf>
    <xf numFmtId="0" fontId="2" fillId="0" borderId="0" xfId="2" applyAlignment="1">
      <alignment horizontal="left" indent="4"/>
    </xf>
    <xf numFmtId="165" fontId="5" fillId="0" borderId="0" xfId="2" applyNumberFormat="1" applyFont="1" applyAlignment="1">
      <alignment horizontal="right"/>
    </xf>
    <xf numFmtId="165" fontId="2" fillId="5" borderId="0" xfId="2" applyNumberFormat="1" applyFill="1" applyAlignment="1">
      <alignment horizontal="right"/>
    </xf>
    <xf numFmtId="3" fontId="2" fillId="0" borderId="0" xfId="1" applyNumberFormat="1"/>
    <xf numFmtId="3" fontId="10" fillId="2" borderId="0" xfId="1" applyNumberFormat="1" applyFont="1" applyFill="1" applyAlignment="1">
      <alignment horizontal="right"/>
    </xf>
    <xf numFmtId="3" fontId="10" fillId="5" borderId="0" xfId="1" applyNumberFormat="1" applyFont="1" applyFill="1" applyAlignment="1">
      <alignment horizontal="right"/>
    </xf>
    <xf numFmtId="0" fontId="9" fillId="2" borderId="0" xfId="1" applyFont="1" applyFill="1" applyAlignment="1">
      <alignment horizontal="left" indent="1"/>
    </xf>
    <xf numFmtId="3" fontId="9" fillId="2" borderId="0" xfId="1" applyNumberFormat="1" applyFont="1" applyFill="1" applyAlignment="1">
      <alignment horizontal="right"/>
    </xf>
    <xf numFmtId="3" fontId="9" fillId="0" borderId="0" xfId="1" applyNumberFormat="1" applyFont="1" applyAlignment="1">
      <alignment horizontal="right"/>
    </xf>
    <xf numFmtId="166" fontId="2" fillId="0" borderId="0" xfId="1" applyNumberFormat="1"/>
    <xf numFmtId="167" fontId="2" fillId="0" borderId="0" xfId="1" applyNumberFormat="1"/>
    <xf numFmtId="3" fontId="2" fillId="7" borderId="0" xfId="1" applyNumberFormat="1" applyFill="1" applyAlignment="1">
      <alignment horizontal="right"/>
    </xf>
    <xf numFmtId="44" fontId="0" fillId="0" borderId="0" xfId="3" applyNumberFormat="1" applyFont="1"/>
    <xf numFmtId="0" fontId="11" fillId="0" borderId="0" xfId="1" applyFont="1"/>
    <xf numFmtId="168" fontId="0" fillId="0" borderId="0" xfId="0" applyNumberFormat="1"/>
    <xf numFmtId="10" fontId="2" fillId="0" borderId="0" xfId="5" applyNumberFormat="1" applyFont="1"/>
    <xf numFmtId="0" fontId="2" fillId="0" borderId="0" xfId="6"/>
    <xf numFmtId="0" fontId="3" fillId="0" borderId="0" xfId="6" applyFont="1" applyAlignment="1">
      <alignment horizontal="left"/>
    </xf>
    <xf numFmtId="3" fontId="2" fillId="2" borderId="0" xfId="6" applyNumberFormat="1" applyFill="1" applyAlignment="1">
      <alignment horizontal="right"/>
    </xf>
    <xf numFmtId="0" fontId="2" fillId="2" borderId="0" xfId="6" applyFill="1" applyAlignment="1">
      <alignment horizontal="left" indent="4"/>
    </xf>
    <xf numFmtId="3" fontId="2" fillId="0" borderId="0" xfId="6" applyNumberFormat="1" applyAlignment="1">
      <alignment horizontal="right"/>
    </xf>
    <xf numFmtId="0" fontId="2" fillId="0" borderId="0" xfId="6" applyAlignment="1">
      <alignment horizontal="left" indent="4"/>
    </xf>
    <xf numFmtId="3" fontId="5" fillId="2" borderId="0" xfId="6" applyNumberFormat="1" applyFont="1" applyFill="1" applyAlignment="1">
      <alignment horizontal="right"/>
    </xf>
    <xf numFmtId="0" fontId="5" fillId="2" borderId="0" xfId="6" applyFont="1" applyFill="1" applyAlignment="1">
      <alignment horizontal="left" indent="3"/>
    </xf>
    <xf numFmtId="0" fontId="5" fillId="0" borderId="0" xfId="6" applyFont="1" applyAlignment="1">
      <alignment horizontal="left"/>
    </xf>
    <xf numFmtId="4" fontId="2" fillId="0" borderId="0" xfId="6" quotePrefix="1" applyNumberFormat="1" applyAlignment="1">
      <alignment horizontal="right"/>
    </xf>
    <xf numFmtId="4" fontId="2" fillId="2" borderId="0" xfId="6" applyNumberFormat="1" applyFill="1" applyAlignment="1">
      <alignment horizontal="right"/>
    </xf>
    <xf numFmtId="4" fontId="5" fillId="0" borderId="0" xfId="6" applyNumberFormat="1" applyFont="1" applyAlignment="1">
      <alignment horizontal="right"/>
    </xf>
    <xf numFmtId="0" fontId="5" fillId="0" borderId="0" xfId="6" applyFont="1" applyAlignment="1">
      <alignment horizontal="left" indent="3"/>
    </xf>
    <xf numFmtId="4" fontId="2" fillId="0" borderId="0" xfId="6" applyNumberFormat="1" applyAlignment="1">
      <alignment horizontal="right"/>
    </xf>
    <xf numFmtId="0" fontId="2" fillId="2" borderId="0" xfId="6" applyFill="1" applyAlignment="1">
      <alignment horizontal="left" indent="1"/>
    </xf>
    <xf numFmtId="4" fontId="2" fillId="5" borderId="0" xfId="6" applyNumberFormat="1" applyFill="1" applyAlignment="1">
      <alignment horizontal="right"/>
    </xf>
    <xf numFmtId="4" fontId="5" fillId="2" borderId="0" xfId="6" applyNumberFormat="1" applyFont="1" applyFill="1" applyAlignment="1">
      <alignment horizontal="right"/>
    </xf>
    <xf numFmtId="0" fontId="5" fillId="2" borderId="0" xfId="6" applyFont="1" applyFill="1" applyAlignment="1">
      <alignment horizontal="left"/>
    </xf>
    <xf numFmtId="0" fontId="2" fillId="0" borderId="0" xfId="6" applyAlignment="1">
      <alignment horizontal="left" indent="1"/>
    </xf>
    <xf numFmtId="3" fontId="2" fillId="5" borderId="0" xfId="6" applyNumberFormat="1" applyFill="1" applyAlignment="1">
      <alignment horizontal="right"/>
    </xf>
    <xf numFmtId="3" fontId="5" fillId="0" borderId="0" xfId="6" applyNumberFormat="1" applyFont="1" applyAlignment="1">
      <alignment horizontal="right"/>
    </xf>
    <xf numFmtId="0" fontId="2" fillId="2" borderId="0" xfId="6" applyFill="1" applyAlignment="1">
      <alignment horizontal="left" indent="7"/>
    </xf>
    <xf numFmtId="0" fontId="5" fillId="0" borderId="0" xfId="6" applyFont="1" applyAlignment="1">
      <alignment horizontal="left" indent="6"/>
    </xf>
    <xf numFmtId="3" fontId="2" fillId="0" borderId="0" xfId="6" applyNumberFormat="1"/>
    <xf numFmtId="0" fontId="6" fillId="3" borderId="0" xfId="6" applyFont="1" applyFill="1" applyAlignment="1">
      <alignment horizontal="left"/>
    </xf>
    <xf numFmtId="0" fontId="2" fillId="0" borderId="1" xfId="6" applyBorder="1"/>
    <xf numFmtId="164" fontId="0" fillId="0" borderId="3" xfId="7" applyNumberFormat="1" applyFont="1" applyBorder="1" applyAlignment="1">
      <alignment horizontal="left"/>
    </xf>
    <xf numFmtId="0" fontId="1" fillId="4" borderId="0" xfId="8" applyFont="1" applyFill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1" fillId="4" borderId="2" xfId="8" applyFont="1" applyFill="1" applyBorder="1" applyAlignment="1">
      <alignment horizontal="left"/>
    </xf>
    <xf numFmtId="0" fontId="1" fillId="4" borderId="3" xfId="8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</cellXfs>
  <cellStyles count="9">
    <cellStyle name="Comma" xfId="3" builtinId="3"/>
    <cellStyle name="Currency" xfId="4" builtinId="4"/>
    <cellStyle name="Currency 2" xfId="7" xr:uid="{708302DE-440A-4C5D-AD7D-D74C9A78F4C4}"/>
    <cellStyle name="Normal" xfId="0" builtinId="0"/>
    <cellStyle name="Normal 2" xfId="1" xr:uid="{06B8090C-32CA-4144-B97E-B3A5D197441E}"/>
    <cellStyle name="Normal 2 2" xfId="6" xr:uid="{8C5F7A3D-1C3D-4A76-B2BF-DD2D852DA724}"/>
    <cellStyle name="Normal 4" xfId="2" xr:uid="{3DB3CE0A-181C-43EF-9A86-B754E9114D01}"/>
    <cellStyle name="Normal 5" xfId="8" xr:uid="{457AB818-926D-4DD0-B1DA-BF088921E68E}"/>
    <cellStyle name="Percent" xfId="5" builtinId="5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>
          <bgColor theme="2" tint="-9.9948118533890809E-2"/>
        </patternFill>
      </fill>
    </dxf>
    <dxf>
      <font>
        <b/>
        <i val="0"/>
        <color theme="0"/>
      </font>
      <fill>
        <patternFill>
          <bgColor rgb="FFC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/>
      </border>
    </dxf>
  </dxfs>
  <tableStyles count="1" defaultTableStyle="TableStyleMedium2" defaultPivotStyle="PivotStyleLight16">
    <tableStyle name="Table Style 2" pivot="0" count="2" xr9:uid="{7E8AB8AD-49C3-4FAB-BDBC-DFA5FA87F7B4}">
      <tableStyleElement type="headerRow" dxfId="20"/>
      <tableStyleElement type="first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E19F6C3-687F-4E7D-9F7E-457F325D0004}" name="Table1" displayName="Table1" ref="B16:J37" totalsRowShown="0" dataDxfId="18" dataCellStyle="Comma">
  <autoFilter ref="B16:J37" xr:uid="{C61CC90C-7C87-49EC-9EA4-555F038AF567}"/>
  <tableColumns count="9">
    <tableColumn id="1" xr3:uid="{6C74BBCC-3449-4B6E-92B6-12BC4DCE566F}" name="Ownership"/>
    <tableColumn id="2" xr3:uid="{BC7EDA2F-D79D-4E47-A17F-6F43D44A056F}" name="Class C" dataDxfId="17" dataCellStyle="Comma"/>
    <tableColumn id="3" xr3:uid="{969CBD44-2225-45CE-BB09-959BD532997F}" name="Class B" dataDxfId="16" dataCellStyle="Comma"/>
    <tableColumn id="4" xr3:uid="{F9A7A3EF-02E7-4718-9687-FFCFF2509070}" name="Class A" dataDxfId="15" dataCellStyle="Comma"/>
    <tableColumn id="5" xr3:uid="{45470378-9B45-4418-8304-E2FBB08E2E39}" name="Total Owned" dataDxfId="14" dataCellStyle="Comma"/>
    <tableColumn id="6" xr3:uid="{F06A19BE-BD4B-420F-B705-77222518BC61}" name="% Ownership" dataDxfId="13" dataCellStyle="Percent">
      <calculatedColumnFormula>F17/$F$12</calculatedColumnFormula>
    </tableColumn>
    <tableColumn id="7" xr3:uid="{972BE46A-CD49-428E-9080-29560C01A787}" name="Voting Power" dataDxfId="12" dataCellStyle="Comma">
      <calculatedColumnFormula>(D17*$E$9)+(E17*$E$10)</calculatedColumnFormula>
    </tableColumn>
    <tableColumn id="8" xr3:uid="{30FF6493-5BB9-4F9D-BA53-3610EF434813}" name="% Voting" dataDxfId="11" dataCellStyle="Percent"/>
    <tableColumn id="11" xr3:uid="{2D2D70F2-C3E8-4FF4-8BB3-163C9B259205}" name="Dividends" dataDxfId="10" dataCellStyle="Comma">
      <calculatedColumnFormula>(Table1[[#This Row],[Class B]]/$F$9*$J$9)+(Table1[[#This Row],[Class A]]/$F$10*$J$10)</calculatedColumnFormula>
    </tableColumn>
  </tableColumns>
  <tableStyleInfo name="Table Style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AA1C13E-FF46-4F5B-AB07-55A033B4932F}" name="Table2" displayName="Table2" ref="B7:J12" totalsRowShown="0">
  <autoFilter ref="B7:J12" xr:uid="{1AF8E275-D6EE-4079-B5DC-0FDB3FE7BC6F}"/>
  <tableColumns count="9">
    <tableColumn id="1" xr3:uid="{7D6EC042-F634-40C8-95BE-1E303E81E234}" name="Shareholder Classification" dataDxfId="9"/>
    <tableColumn id="2" xr3:uid="{5864940F-2745-4315-8610-4846055E0E72}" name="Type"/>
    <tableColumn id="3" xr3:uid="{64430BC6-FC2F-46C8-8B96-69908D250731}" name="Par Value"/>
    <tableColumn id="4" xr3:uid="{243C5D08-7E21-41CF-8ABF-720A3B72F525}" name="Voting Power"/>
    <tableColumn id="5" xr3:uid="{FD800494-A33E-4F63-B35F-C381DD59FF97}" name="Total  Shares" dataDxfId="8" dataCellStyle="Comma"/>
    <tableColumn id="10" xr3:uid="{7AA4D28F-5E5A-4FEB-853C-B94F044AEDDE}" name="Total Voting Power" dataDxfId="7" dataCellStyle="Comma">
      <calculatedColumnFormula>Table2[[#This Row],[Voting Power]]*Table2[[#This Row],[Total  Shares]]</calculatedColumnFormula>
    </tableColumn>
    <tableColumn id="11" xr3:uid="{BFD4B109-AD84-42A8-93DE-ECA486D2CFE6}" name="Voting %" dataDxfId="6" dataCellStyle="Comma">
      <calculatedColumnFormula>Table2[[#This Row],[Total Voting Power]]/$G$12</calculatedColumnFormula>
    </tableColumn>
    <tableColumn id="6" xr3:uid="{56E53998-3B22-41C6-A96C-DA533C36D95C}" name="Dividend Type"/>
    <tableColumn id="7" xr3:uid="{33F5D135-A739-49B5-84EA-A39423F07715}" name="Dividends" dataDxfId="5">
      <calculatedColumnFormula>Table2[[#This Row],[Par Value]]*Table2[[#This Row],[Dividend Type]]*Table2[[#This Row],[Total  Shares]]</calculatedColumnFormula>
    </tableColumn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4686-5E45-4462-A991-0F9292DEFE70}">
  <dimension ref="B1:M44"/>
  <sheetViews>
    <sheetView topLeftCell="A4" workbookViewId="0">
      <selection activeCell="G12" sqref="G12"/>
    </sheetView>
  </sheetViews>
  <sheetFormatPr defaultRowHeight="14.4" x14ac:dyDescent="0.3"/>
  <cols>
    <col min="2" max="2" width="25.44140625" bestFit="1" customWidth="1"/>
    <col min="3" max="3" width="12.21875" bestFit="1" customWidth="1"/>
    <col min="4" max="4" width="12.77734375" bestFit="1" customWidth="1"/>
    <col min="5" max="5" width="13.88671875" bestFit="1" customWidth="1"/>
    <col min="6" max="6" width="13.6640625" bestFit="1" customWidth="1"/>
    <col min="7" max="7" width="18.44140625" bestFit="1" customWidth="1"/>
    <col min="8" max="8" width="13.88671875" bestFit="1" customWidth="1"/>
    <col min="9" max="9" width="14.88671875" bestFit="1" customWidth="1"/>
    <col min="10" max="10" width="12.21875" bestFit="1" customWidth="1"/>
    <col min="11" max="11" width="11.109375" bestFit="1" customWidth="1"/>
  </cols>
  <sheetData>
    <row r="1" spans="2:13" x14ac:dyDescent="0.3">
      <c r="B1" s="97" t="s">
        <v>117</v>
      </c>
      <c r="C1" s="97"/>
      <c r="D1" s="97"/>
      <c r="E1" s="97"/>
      <c r="F1" s="97"/>
      <c r="G1" s="97"/>
      <c r="H1" s="97"/>
      <c r="I1" s="97"/>
      <c r="J1" s="97"/>
    </row>
    <row r="2" spans="2:13" x14ac:dyDescent="0.3">
      <c r="B2" s="43">
        <v>445</v>
      </c>
      <c r="C2" s="44"/>
      <c r="D2" s="44"/>
      <c r="E2" s="44"/>
      <c r="F2" s="44"/>
      <c r="G2" s="44"/>
      <c r="H2" s="44"/>
      <c r="I2" s="44"/>
      <c r="J2" s="44"/>
    </row>
    <row r="4" spans="2:13" x14ac:dyDescent="0.3">
      <c r="B4" s="98" t="s">
        <v>154</v>
      </c>
      <c r="C4" s="98"/>
    </row>
    <row r="5" spans="2:13" x14ac:dyDescent="0.3">
      <c r="B5" t="s">
        <v>155</v>
      </c>
      <c r="C5" s="46">
        <v>53154.975527361392</v>
      </c>
    </row>
    <row r="7" spans="2:13" x14ac:dyDescent="0.3">
      <c r="B7" t="s">
        <v>156</v>
      </c>
      <c r="C7" t="s">
        <v>157</v>
      </c>
      <c r="D7" t="s">
        <v>158</v>
      </c>
      <c r="E7" t="s">
        <v>159</v>
      </c>
      <c r="F7" t="s">
        <v>160</v>
      </c>
      <c r="G7" t="s">
        <v>161</v>
      </c>
      <c r="H7" t="s">
        <v>162</v>
      </c>
      <c r="I7" t="s">
        <v>163</v>
      </c>
      <c r="J7" t="s">
        <v>155</v>
      </c>
    </row>
    <row r="8" spans="2:13" x14ac:dyDescent="0.3">
      <c r="B8" s="38" t="s">
        <v>164</v>
      </c>
      <c r="C8" t="s">
        <v>165</v>
      </c>
      <c r="D8" s="37">
        <v>5</v>
      </c>
      <c r="E8">
        <v>0</v>
      </c>
      <c r="F8" s="47">
        <v>0</v>
      </c>
      <c r="G8" s="47">
        <f>Table2[[#This Row],[Voting Power]]*Table2[[#This Row],[Total  Shares]]</f>
        <v>0</v>
      </c>
      <c r="H8" s="45">
        <f>Table2[[#This Row],[Total Voting Power]]/$G$12</f>
        <v>0</v>
      </c>
      <c r="I8" s="45">
        <v>0.05</v>
      </c>
      <c r="J8" s="37">
        <f>Table2[[#This Row],[Par Value]]*Table2[[#This Row],[Dividend Type]]*Table2[[#This Row],[Total  Shares]]</f>
        <v>0</v>
      </c>
    </row>
    <row r="9" spans="2:13" x14ac:dyDescent="0.3">
      <c r="B9" s="38" t="s">
        <v>166</v>
      </c>
      <c r="C9" t="s">
        <v>167</v>
      </c>
      <c r="D9" s="37">
        <v>1</v>
      </c>
      <c r="E9">
        <v>10</v>
      </c>
      <c r="F9" s="47">
        <f>F10*1/9</f>
        <v>7879.2222222222226</v>
      </c>
      <c r="G9" s="47">
        <f>Table2[[#This Row],[Voting Power]]*Table2[[#This Row],[Total  Shares]]</f>
        <v>78792.222222222219</v>
      </c>
      <c r="H9" s="45">
        <f>Table2[[#This Row],[Total Voting Power]]/$G$12</f>
        <v>0.52631578947368418</v>
      </c>
      <c r="I9" t="s">
        <v>168</v>
      </c>
      <c r="J9" s="39">
        <f>($C$5-$J$8)/($F$9+$F$10)*Table2[[#This Row],[Total  Shares]]</f>
        <v>5315.4975527361394</v>
      </c>
    </row>
    <row r="10" spans="2:13" x14ac:dyDescent="0.3">
      <c r="B10" s="38" t="s">
        <v>169</v>
      </c>
      <c r="C10" t="s">
        <v>170</v>
      </c>
      <c r="D10" s="37">
        <v>1</v>
      </c>
      <c r="E10">
        <v>1</v>
      </c>
      <c r="F10" s="47">
        <v>70913</v>
      </c>
      <c r="G10" s="47">
        <f>Table2[[#This Row],[Voting Power]]*Table2[[#This Row],[Total  Shares]]</f>
        <v>70913</v>
      </c>
      <c r="H10" s="45">
        <f>Table2[[#This Row],[Total Voting Power]]/$G$12</f>
        <v>0.47368421052631582</v>
      </c>
      <c r="I10" t="s">
        <v>168</v>
      </c>
      <c r="J10" s="39">
        <f>($C$5-$J$8)/($F$9+$F$10)*Table2[[#This Row],[Total  Shares]]</f>
        <v>47839.477974625253</v>
      </c>
      <c r="M10" s="67"/>
    </row>
    <row r="11" spans="2:13" x14ac:dyDescent="0.3">
      <c r="B11" s="38"/>
      <c r="D11" s="37"/>
      <c r="F11" s="47"/>
      <c r="G11" s="47"/>
      <c r="H11" s="47"/>
      <c r="J11" s="48"/>
    </row>
    <row r="12" spans="2:13" x14ac:dyDescent="0.3">
      <c r="B12" s="38" t="s">
        <v>171</v>
      </c>
      <c r="C12" s="39"/>
      <c r="D12" s="39"/>
      <c r="E12" s="39"/>
      <c r="F12" s="47">
        <f>SUM(F8:F11)</f>
        <v>78792.222222222219</v>
      </c>
      <c r="G12" s="47">
        <f>SUM(G8:G11)</f>
        <v>149705.22222222222</v>
      </c>
      <c r="H12" s="45">
        <f>Table2[[#This Row],[Total Voting Power]]/$G$12</f>
        <v>1</v>
      </c>
      <c r="I12" s="39"/>
      <c r="J12" s="39">
        <f>SUM(J8:J11)</f>
        <v>53154.975527361392</v>
      </c>
    </row>
    <row r="13" spans="2:13" x14ac:dyDescent="0.3">
      <c r="F13" s="47"/>
      <c r="H13" s="39"/>
    </row>
    <row r="14" spans="2:13" x14ac:dyDescent="0.3">
      <c r="F14" s="47"/>
      <c r="H14" s="39"/>
      <c r="K14" s="45"/>
    </row>
    <row r="16" spans="2:13" ht="13.8" customHeight="1" x14ac:dyDescent="0.3">
      <c r="B16" t="s">
        <v>172</v>
      </c>
      <c r="C16" t="s">
        <v>164</v>
      </c>
      <c r="D16" t="s">
        <v>166</v>
      </c>
      <c r="E16" t="s">
        <v>169</v>
      </c>
      <c r="F16" t="s">
        <v>173</v>
      </c>
      <c r="G16" t="s">
        <v>174</v>
      </c>
      <c r="H16" t="s">
        <v>159</v>
      </c>
      <c r="I16" t="s">
        <v>175</v>
      </c>
      <c r="J16" t="s">
        <v>155</v>
      </c>
    </row>
    <row r="17" spans="2:10" x14ac:dyDescent="0.3">
      <c r="B17" t="s">
        <v>176</v>
      </c>
      <c r="C17" s="47">
        <v>0</v>
      </c>
      <c r="D17" s="47">
        <v>0</v>
      </c>
      <c r="E17" s="47"/>
      <c r="F17" s="47">
        <f>SUM(C17:E17)</f>
        <v>0</v>
      </c>
      <c r="G17" s="45">
        <f>F17/$F$12</f>
        <v>0</v>
      </c>
      <c r="H17" s="47">
        <f>(D17*$E$9)+(E17*$E$10)</f>
        <v>0</v>
      </c>
      <c r="I17" s="45">
        <f t="shared" ref="I17:I35" si="0">H17/$H$37</f>
        <v>0</v>
      </c>
      <c r="J17" s="37">
        <f>(Table1[[#This Row],[Class B]]/$F$9*$J$9)+(Table1[[#This Row],[Class A]]/$F$10*$J$10)</f>
        <v>0</v>
      </c>
    </row>
    <row r="18" spans="2:10" x14ac:dyDescent="0.3">
      <c r="B18" t="s">
        <v>177</v>
      </c>
      <c r="C18" s="47">
        <v>0</v>
      </c>
      <c r="D18" s="47">
        <f>F9/2</f>
        <v>3939.6111111111113</v>
      </c>
      <c r="E18" s="47">
        <v>29999</v>
      </c>
      <c r="F18" s="47">
        <f>SUM(C18:E18)</f>
        <v>33938.611111111109</v>
      </c>
      <c r="G18" s="45">
        <f>F18/$F$12</f>
        <v>0.43073554919408291</v>
      </c>
      <c r="H18" s="47">
        <f>(D18*$E$9)+(E18*$E$10)</f>
        <v>69395.111111111109</v>
      </c>
      <c r="I18" s="45">
        <f t="shared" si="0"/>
        <v>0.46354502589162255</v>
      </c>
      <c r="J18" s="37">
        <f>(Table1[[#This Row],[Class B]]/$F$9*$J$9)+(Table1[[#This Row],[Class A]]/$F$10*$J$10)</f>
        <v>22895.737576176045</v>
      </c>
    </row>
    <row r="19" spans="2:10" x14ac:dyDescent="0.3">
      <c r="B19" t="s">
        <v>179</v>
      </c>
      <c r="C19" s="47">
        <v>0</v>
      </c>
      <c r="D19" s="47">
        <f>F9/2</f>
        <v>3939.6111111111113</v>
      </c>
      <c r="E19" s="47">
        <v>30000</v>
      </c>
      <c r="F19" s="47">
        <f>SUM(C19:E19)</f>
        <v>33939.611111111109</v>
      </c>
      <c r="G19" s="45">
        <f>F19/$F$12</f>
        <v>0.43074824080210961</v>
      </c>
      <c r="H19" s="47">
        <f>(D19*$E$9)+(E19*$E$10)</f>
        <v>69396.111111111109</v>
      </c>
      <c r="I19" s="45">
        <f t="shared" si="0"/>
        <v>0.46355170568532084</v>
      </c>
      <c r="J19" s="37">
        <f>(Table1[[#This Row],[Class B]]/$F$9*$J$9)+(Table1[[#This Row],[Class A]]/$F$10*$J$10)</f>
        <v>22896.412198290109</v>
      </c>
    </row>
    <row r="20" spans="2:10" x14ac:dyDescent="0.3">
      <c r="B20" t="s">
        <v>197</v>
      </c>
      <c r="C20" s="47">
        <v>0</v>
      </c>
      <c r="D20" s="47">
        <v>0</v>
      </c>
      <c r="E20" s="47">
        <v>3880</v>
      </c>
      <c r="F20" s="47">
        <f t="shared" ref="F20:F21" si="1">SUM(C20:E20)</f>
        <v>3880</v>
      </c>
      <c r="G20" s="45">
        <f t="shared" ref="G20:G21" si="2">F20/$F$12</f>
        <v>4.9243439143739513E-2</v>
      </c>
      <c r="H20" s="47">
        <f t="shared" ref="H20:H21" si="3">(D20*$E$9)+(E20*$E$10)</f>
        <v>3880</v>
      </c>
      <c r="I20" s="45">
        <f t="shared" si="0"/>
        <v>2.5917599549336586E-2</v>
      </c>
      <c r="J20" s="65">
        <f>(Table1[[#This Row],[Class B]]/$F$9*$J$9)+(Table1[[#This Row],[Class A]]/$F$10*$J$10)</f>
        <v>2617.5338025685837</v>
      </c>
    </row>
    <row r="21" spans="2:10" x14ac:dyDescent="0.3">
      <c r="B21" t="s">
        <v>213</v>
      </c>
      <c r="C21" s="47">
        <v>0</v>
      </c>
      <c r="D21" s="47">
        <v>0</v>
      </c>
      <c r="E21" s="47">
        <v>2500</v>
      </c>
      <c r="F21" s="47">
        <f t="shared" si="1"/>
        <v>2500</v>
      </c>
      <c r="G21" s="45">
        <f t="shared" si="2"/>
        <v>3.1729020066842473E-2</v>
      </c>
      <c r="H21" s="47">
        <f t="shared" si="3"/>
        <v>2500</v>
      </c>
      <c r="I21" s="45">
        <f t="shared" si="0"/>
        <v>1.6699484245706563E-2</v>
      </c>
      <c r="J21" s="65">
        <f>(Table1[[#This Row],[Class B]]/$F$9*$J$9)+(Table1[[#This Row],[Class A]]/$F$10*$J$10)</f>
        <v>1686.5552851601699</v>
      </c>
    </row>
    <row r="22" spans="2:10" x14ac:dyDescent="0.3">
      <c r="B22" t="s">
        <v>178</v>
      </c>
      <c r="C22" s="47">
        <v>0</v>
      </c>
      <c r="D22" s="47">
        <v>0</v>
      </c>
      <c r="E22" s="47">
        <v>1665</v>
      </c>
      <c r="F22" s="47">
        <f>SUM(C22:E22)</f>
        <v>1665</v>
      </c>
      <c r="G22" s="45">
        <f>F22/$F$12</f>
        <v>2.1131527364517084E-2</v>
      </c>
      <c r="H22" s="47">
        <f>(D22*$E$9)+(E22*$E$10)</f>
        <v>1665</v>
      </c>
      <c r="I22" s="45">
        <f t="shared" si="0"/>
        <v>1.1121856507640571E-2</v>
      </c>
      <c r="J22" s="37">
        <f>(Table1[[#This Row],[Class B]]/$F$9*$J$9)+(Table1[[#This Row],[Class A]]/$F$10*$J$10)</f>
        <v>1123.2458199166731</v>
      </c>
    </row>
    <row r="23" spans="2:10" x14ac:dyDescent="0.3">
      <c r="B23" t="s">
        <v>198</v>
      </c>
      <c r="C23" s="47">
        <v>0</v>
      </c>
      <c r="D23" s="47">
        <v>0</v>
      </c>
      <c r="E23" s="47">
        <v>1085</v>
      </c>
      <c r="F23" s="47">
        <f t="shared" ref="F23:F33" si="4">SUM(C23:E23)</f>
        <v>1085</v>
      </c>
      <c r="G23" s="45">
        <f t="shared" ref="G23:G24" si="5">F23/$F$12</f>
        <v>1.3770394709009632E-2</v>
      </c>
      <c r="H23" s="47">
        <f t="shared" ref="H23:H24" si="6">(D23*$E$9)+(E23*$E$10)</f>
        <v>1085</v>
      </c>
      <c r="I23" s="45">
        <f t="shared" si="0"/>
        <v>7.2475761626366484E-3</v>
      </c>
      <c r="J23" s="65">
        <f>(Table1[[#This Row],[Class B]]/$F$9*$J$9)+(Table1[[#This Row],[Class A]]/$F$10*$J$10)</f>
        <v>731.96499375951373</v>
      </c>
    </row>
    <row r="24" spans="2:10" x14ac:dyDescent="0.3">
      <c r="B24" t="s">
        <v>199</v>
      </c>
      <c r="C24" s="47">
        <v>0</v>
      </c>
      <c r="D24" s="47">
        <v>0</v>
      </c>
      <c r="E24" s="47">
        <v>500</v>
      </c>
      <c r="F24" s="47">
        <f t="shared" si="4"/>
        <v>500</v>
      </c>
      <c r="G24" s="45">
        <f t="shared" si="5"/>
        <v>6.3458040133684938E-3</v>
      </c>
      <c r="H24" s="47">
        <f t="shared" si="6"/>
        <v>500</v>
      </c>
      <c r="I24" s="45">
        <f t="shared" si="0"/>
        <v>3.3398968491413126E-3</v>
      </c>
      <c r="J24" s="65">
        <f>(Table1[[#This Row],[Class B]]/$F$9*$J$9)+(Table1[[#This Row],[Class A]]/$F$10*$J$10)</f>
        <v>337.311057032034</v>
      </c>
    </row>
    <row r="25" spans="2:10" x14ac:dyDescent="0.3">
      <c r="B25" t="s">
        <v>216</v>
      </c>
      <c r="C25" s="47">
        <v>0</v>
      </c>
      <c r="D25" s="47">
        <v>0</v>
      </c>
      <c r="E25" s="47">
        <v>430</v>
      </c>
      <c r="F25" s="47">
        <f t="shared" ref="F25" si="7">SUM(C25:E25)</f>
        <v>430</v>
      </c>
      <c r="G25" s="45">
        <f t="shared" ref="G25" si="8">F25/$F$12</f>
        <v>5.4573914514969048E-3</v>
      </c>
      <c r="H25" s="47">
        <f t="shared" ref="H25" si="9">(D25*$E$9)+(E25*$E$10)</f>
        <v>430</v>
      </c>
      <c r="I25" s="45">
        <f t="shared" si="0"/>
        <v>2.872311290261529E-3</v>
      </c>
      <c r="J25" s="65">
        <f>(Table1[[#This Row],[Class B]]/$F$9*$J$9)+(Table1[[#This Row],[Class A]]/$F$10*$J$10)</f>
        <v>290.08750904754925</v>
      </c>
    </row>
    <row r="26" spans="2:10" x14ac:dyDescent="0.3">
      <c r="B26" t="s">
        <v>200</v>
      </c>
      <c r="C26" s="47">
        <v>0</v>
      </c>
      <c r="D26" s="47">
        <v>0</v>
      </c>
      <c r="E26" s="47">
        <v>285</v>
      </c>
      <c r="F26" s="47">
        <f t="shared" si="4"/>
        <v>285</v>
      </c>
      <c r="G26" s="45">
        <f t="shared" ref="G26:G31" si="10">F26/$F$12</f>
        <v>3.6171082876200415E-3</v>
      </c>
      <c r="H26" s="47">
        <f t="shared" ref="H26:H31" si="11">(D26*$E$9)+(E26*$E$10)</f>
        <v>285</v>
      </c>
      <c r="I26" s="45">
        <f t="shared" si="0"/>
        <v>1.9037412040105483E-3</v>
      </c>
      <c r="J26" s="65">
        <f>(Table1[[#This Row],[Class B]]/$F$9*$J$9)+(Table1[[#This Row],[Class A]]/$F$10*$J$10)</f>
        <v>192.26730250825941</v>
      </c>
    </row>
    <row r="27" spans="2:10" x14ac:dyDescent="0.3">
      <c r="B27" t="s">
        <v>234</v>
      </c>
      <c r="C27" s="47">
        <v>0</v>
      </c>
      <c r="D27" s="47">
        <v>0</v>
      </c>
      <c r="E27" s="47">
        <v>163</v>
      </c>
      <c r="F27" s="47">
        <f t="shared" si="4"/>
        <v>163</v>
      </c>
      <c r="G27" s="45">
        <f t="shared" si="10"/>
        <v>2.0687321083581291E-3</v>
      </c>
      <c r="H27" s="47">
        <f t="shared" si="11"/>
        <v>163</v>
      </c>
      <c r="I27" s="45">
        <f t="shared" si="0"/>
        <v>1.0888063728200679E-3</v>
      </c>
      <c r="J27" s="65">
        <f>(Table1[[#This Row],[Class B]]/$F$9*$J$9)+(Table1[[#This Row],[Class A]]/$F$10*$J$10)</f>
        <v>109.96340459244307</v>
      </c>
    </row>
    <row r="28" spans="2:10" x14ac:dyDescent="0.3">
      <c r="B28" t="s">
        <v>203</v>
      </c>
      <c r="C28" s="47">
        <v>0</v>
      </c>
      <c r="D28" s="47">
        <v>0</v>
      </c>
      <c r="E28" s="47">
        <v>112</v>
      </c>
      <c r="F28" s="47">
        <f t="shared" ref="F28:F30" si="12">SUM(C28:E28)</f>
        <v>112</v>
      </c>
      <c r="G28" s="45">
        <f>F28/$F$12</f>
        <v>1.4214600989945426E-3</v>
      </c>
      <c r="H28" s="47">
        <f>(D28*$E$9)+(E28*$E$10)</f>
        <v>112</v>
      </c>
      <c r="I28" s="45">
        <f t="shared" si="0"/>
        <v>7.4813689420765404E-4</v>
      </c>
      <c r="J28" s="65">
        <f>(Table1[[#This Row],[Class B]]/$F$9*$J$9)+(Table1[[#This Row],[Class A]]/$F$10*$J$10)</f>
        <v>75.557676775175608</v>
      </c>
    </row>
    <row r="29" spans="2:10" x14ac:dyDescent="0.3">
      <c r="B29" t="s">
        <v>214</v>
      </c>
      <c r="C29" s="47">
        <v>0</v>
      </c>
      <c r="D29" s="47">
        <v>0</v>
      </c>
      <c r="E29" s="47">
        <v>86</v>
      </c>
      <c r="F29" s="47">
        <f t="shared" si="12"/>
        <v>86</v>
      </c>
      <c r="G29" s="45">
        <f t="shared" ref="G29:G30" si="13">F29/$F$12</f>
        <v>1.091478290299381E-3</v>
      </c>
      <c r="H29" s="47">
        <f t="shared" ref="H29:H30" si="14">(D29*$E$9)+(E29*$E$10)</f>
        <v>86</v>
      </c>
      <c r="I29" s="45">
        <f t="shared" si="0"/>
        <v>5.7446225805230574E-4</v>
      </c>
      <c r="J29" s="65">
        <f>(Table1[[#This Row],[Class B]]/$F$9*$J$9)+(Table1[[#This Row],[Class A]]/$F$10*$J$10)</f>
        <v>58.017501809509845</v>
      </c>
    </row>
    <row r="30" spans="2:10" x14ac:dyDescent="0.3">
      <c r="B30" t="s">
        <v>235</v>
      </c>
      <c r="C30" s="47">
        <v>0</v>
      </c>
      <c r="D30" s="47">
        <v>0</v>
      </c>
      <c r="E30" s="47">
        <v>81</v>
      </c>
      <c r="F30" s="47">
        <f t="shared" si="12"/>
        <v>81</v>
      </c>
      <c r="G30" s="45">
        <f t="shared" si="13"/>
        <v>1.028020250165696E-3</v>
      </c>
      <c r="H30" s="47">
        <f t="shared" si="14"/>
        <v>81</v>
      </c>
      <c r="I30" s="45">
        <f t="shared" si="0"/>
        <v>5.4106328956089267E-4</v>
      </c>
      <c r="J30" s="65">
        <f>(Table1[[#This Row],[Class B]]/$F$9*$J$9)+(Table1[[#This Row],[Class A]]/$F$10*$J$10)</f>
        <v>54.64439123918951</v>
      </c>
    </row>
    <row r="31" spans="2:10" x14ac:dyDescent="0.3">
      <c r="B31" t="s">
        <v>201</v>
      </c>
      <c r="C31" s="47">
        <v>0</v>
      </c>
      <c r="D31" s="47">
        <v>0</v>
      </c>
      <c r="E31" s="47">
        <v>50</v>
      </c>
      <c r="F31" s="47">
        <f t="shared" si="4"/>
        <v>50</v>
      </c>
      <c r="G31" s="45">
        <f t="shared" si="10"/>
        <v>6.3458040133684943E-4</v>
      </c>
      <c r="H31" s="47">
        <f t="shared" si="11"/>
        <v>50</v>
      </c>
      <c r="I31" s="45">
        <f t="shared" si="0"/>
        <v>3.3398968491413125E-4</v>
      </c>
      <c r="J31" s="65">
        <f>(Table1[[#This Row],[Class B]]/$F$9*$J$9)+(Table1[[#This Row],[Class A]]/$F$10*$J$10)</f>
        <v>33.731105703203404</v>
      </c>
    </row>
    <row r="32" spans="2:10" x14ac:dyDescent="0.3">
      <c r="B32" t="s">
        <v>202</v>
      </c>
      <c r="C32" s="47">
        <v>0</v>
      </c>
      <c r="D32" s="47">
        <v>0</v>
      </c>
      <c r="E32" s="47">
        <v>50</v>
      </c>
      <c r="F32" s="47">
        <f t="shared" si="4"/>
        <v>50</v>
      </c>
      <c r="G32" s="45">
        <f>F32/$F$12</f>
        <v>6.3458040133684943E-4</v>
      </c>
      <c r="H32" s="47">
        <f>(D32*$E$9)+(E32*$E$10)</f>
        <v>50</v>
      </c>
      <c r="I32" s="45">
        <f t="shared" si="0"/>
        <v>3.3398968491413125E-4</v>
      </c>
      <c r="J32" s="65">
        <f>(Table1[[#This Row],[Class B]]/$F$9*$J$9)+(Table1[[#This Row],[Class A]]/$F$10*$J$10)</f>
        <v>33.731105703203404</v>
      </c>
    </row>
    <row r="33" spans="2:10" x14ac:dyDescent="0.3">
      <c r="B33" t="s">
        <v>236</v>
      </c>
      <c r="C33" s="47">
        <v>0</v>
      </c>
      <c r="D33" s="47">
        <v>0</v>
      </c>
      <c r="E33" s="47">
        <v>20</v>
      </c>
      <c r="F33" s="47">
        <f t="shared" si="4"/>
        <v>20</v>
      </c>
      <c r="G33" s="45">
        <f>F33/$F$12</f>
        <v>2.5383216053473975E-4</v>
      </c>
      <c r="H33" s="47">
        <f>(D33*$E$9)+(E33*$E$10)</f>
        <v>20</v>
      </c>
      <c r="I33" s="45">
        <f t="shared" si="0"/>
        <v>1.335958739656525E-4</v>
      </c>
      <c r="J33" s="65">
        <f>(Table1[[#This Row],[Class B]]/$F$9*$J$9)+(Table1[[#This Row],[Class A]]/$F$10*$J$10)</f>
        <v>13.492442281281358</v>
      </c>
    </row>
    <row r="34" spans="2:10" x14ac:dyDescent="0.3">
      <c r="B34" t="s">
        <v>217</v>
      </c>
      <c r="C34" s="47">
        <v>0</v>
      </c>
      <c r="D34" s="47">
        <v>0</v>
      </c>
      <c r="E34" s="47">
        <v>6</v>
      </c>
      <c r="F34" s="47">
        <f t="shared" ref="F34" si="15">SUM(C34:E34)</f>
        <v>6</v>
      </c>
      <c r="G34" s="45">
        <f>F34/$F$12</f>
        <v>7.6149648160421933E-5</v>
      </c>
      <c r="H34" s="47">
        <f>(D34*$E$9)+(E34*$E$10)</f>
        <v>6</v>
      </c>
      <c r="I34" s="45">
        <f t="shared" si="0"/>
        <v>4.0078762189695748E-5</v>
      </c>
      <c r="J34" s="65">
        <f>(Table1[[#This Row],[Class B]]/$F$9*$J$9)+(Table1[[#This Row],[Class A]]/$F$10*$J$10)</f>
        <v>4.0477326843844077</v>
      </c>
    </row>
    <row r="35" spans="2:10" x14ac:dyDescent="0.3">
      <c r="B35" t="s">
        <v>215</v>
      </c>
      <c r="C35" s="47">
        <v>0</v>
      </c>
      <c r="D35" s="47">
        <v>0</v>
      </c>
      <c r="E35" s="47">
        <v>1</v>
      </c>
      <c r="F35" s="47">
        <f t="shared" ref="F35" si="16">SUM(C35:E35)</f>
        <v>1</v>
      </c>
      <c r="G35" s="45">
        <f>F35/$F$12</f>
        <v>1.2691608026736989E-5</v>
      </c>
      <c r="H35" s="47">
        <f>(D35*$E$9)+(E35*$E$10)</f>
        <v>1</v>
      </c>
      <c r="I35" s="45">
        <f t="shared" si="0"/>
        <v>6.679793698282625E-6</v>
      </c>
      <c r="J35" s="65">
        <f>(Table1[[#This Row],[Class B]]/$F$9*$J$9)+(Table1[[#This Row],[Class A]]/$F$10*$J$10)</f>
        <v>0.67462211406406802</v>
      </c>
    </row>
    <row r="36" spans="2:10" x14ac:dyDescent="0.3">
      <c r="C36" s="47"/>
      <c r="D36" s="47"/>
      <c r="E36" s="47"/>
      <c r="F36" s="47"/>
      <c r="G36" s="45"/>
      <c r="H36" s="47"/>
      <c r="I36" s="45"/>
      <c r="J36" s="47"/>
    </row>
    <row r="37" spans="2:10" x14ac:dyDescent="0.3">
      <c r="B37" t="s">
        <v>171</v>
      </c>
      <c r="C37" s="47">
        <f>SUM(C17:C36)</f>
        <v>0</v>
      </c>
      <c r="D37" s="47">
        <f>SUM(D17:D36)</f>
        <v>7879.2222222222226</v>
      </c>
      <c r="E37" s="47">
        <f>SUM(E17:E36)</f>
        <v>70913</v>
      </c>
      <c r="F37" s="47">
        <f>SUM(F17:F36)</f>
        <v>78792.222222222219</v>
      </c>
      <c r="G37" s="45">
        <f>F37/$F$12</f>
        <v>1</v>
      </c>
      <c r="H37" s="47">
        <f>(D37*$E$9)+(E37*$E$10)</f>
        <v>149705.22222222222</v>
      </c>
      <c r="I37" s="45">
        <f>SUM(I17:I36)</f>
        <v>1</v>
      </c>
      <c r="J37" s="37">
        <f>SUM(J17:J36)</f>
        <v>53154.975527361399</v>
      </c>
    </row>
    <row r="41" spans="2:10" x14ac:dyDescent="0.3">
      <c r="F41" s="49"/>
    </row>
    <row r="43" spans="2:10" x14ac:dyDescent="0.3">
      <c r="D43" s="49"/>
    </row>
    <row r="44" spans="2:10" x14ac:dyDescent="0.3">
      <c r="E44" s="49"/>
    </row>
  </sheetData>
  <mergeCells count="2">
    <mergeCell ref="B1:J1"/>
    <mergeCell ref="B4:C4"/>
  </mergeCells>
  <pageMargins left="0.7" right="0.7" top="0.75" bottom="0.75" header="0.3" footer="0.3"/>
  <pageSetup orientation="portrait" horizontalDpi="300" verticalDpi="300" r:id="rId1"/>
  <ignoredErrors>
    <ignoredError sqref="J9 J10:J12 J37 G12" calculatedColumn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7FC0-C576-4FBE-954E-BF52DEF148F5}">
  <sheetPr>
    <outlinePr summaryBelow="0" summaryRight="0"/>
  </sheetPr>
  <dimension ref="B1:M58"/>
  <sheetViews>
    <sheetView workbookViewId="0">
      <selection activeCell="B9" sqref="B9"/>
    </sheetView>
  </sheetViews>
  <sheetFormatPr defaultColWidth="9.109375" defaultRowHeight="15" customHeight="1" outlineLevelRow="3" x14ac:dyDescent="0.25"/>
  <cols>
    <col min="1" max="1" width="9.109375" style="69"/>
    <col min="2" max="2" width="51.33203125" style="69" customWidth="1"/>
    <col min="3" max="8" width="10.109375" style="69" bestFit="1" customWidth="1"/>
    <col min="9" max="16384" width="9.109375" style="69"/>
  </cols>
  <sheetData>
    <row r="1" spans="2:13" ht="15" customHeight="1" x14ac:dyDescent="0.3">
      <c r="B1" s="99" t="s">
        <v>117</v>
      </c>
      <c r="C1" s="100"/>
      <c r="D1" s="96"/>
      <c r="E1" s="96"/>
      <c r="F1" s="96"/>
      <c r="G1" s="96"/>
      <c r="H1" s="96"/>
    </row>
    <row r="2" spans="2:13" ht="15" customHeight="1" x14ac:dyDescent="0.3">
      <c r="B2" s="95">
        <f>Shareholders!B2</f>
        <v>445</v>
      </c>
    </row>
    <row r="3" spans="2:13" ht="15" customHeight="1" x14ac:dyDescent="0.25">
      <c r="B3" s="94"/>
      <c r="C3" s="94"/>
      <c r="D3" s="94"/>
      <c r="E3" s="94"/>
      <c r="F3" s="94"/>
      <c r="G3" s="94"/>
      <c r="H3" s="94"/>
    </row>
    <row r="5" spans="2:13" ht="15" customHeight="1" x14ac:dyDescent="0.25">
      <c r="B5" s="93" t="s">
        <v>118</v>
      </c>
      <c r="C5" s="93"/>
      <c r="D5" s="93"/>
      <c r="E5" s="93"/>
      <c r="F5" s="93"/>
      <c r="G5" s="93"/>
      <c r="H5" s="93"/>
    </row>
    <row r="6" spans="2:13" ht="15" customHeight="1" x14ac:dyDescent="0.25">
      <c r="B6" s="93" t="s">
        <v>119</v>
      </c>
      <c r="C6" s="93"/>
      <c r="D6" s="93"/>
      <c r="E6" s="93"/>
      <c r="F6" s="93"/>
      <c r="G6" s="93"/>
      <c r="H6" s="93"/>
    </row>
    <row r="7" spans="2:13" ht="15" customHeight="1" x14ac:dyDescent="0.25">
      <c r="B7" s="93"/>
      <c r="C7" s="29">
        <v>45961</v>
      </c>
      <c r="D7" s="29">
        <v>45930</v>
      </c>
      <c r="E7" s="29">
        <v>45900</v>
      </c>
      <c r="F7" s="29">
        <v>45869</v>
      </c>
      <c r="G7" s="29">
        <v>45838</v>
      </c>
      <c r="H7" s="29">
        <v>45808</v>
      </c>
    </row>
    <row r="8" spans="2:13" ht="15" customHeight="1" x14ac:dyDescent="0.25">
      <c r="B8" s="77" t="s">
        <v>42</v>
      </c>
      <c r="C8" s="89">
        <f t="shared" ref="C8:H8" si="0">SUM(C9:C13)</f>
        <v>1099443.8464013617</v>
      </c>
      <c r="D8" s="89">
        <f t="shared" si="0"/>
        <v>3130443.9636136699</v>
      </c>
      <c r="E8" s="89">
        <f t="shared" si="0"/>
        <v>215636.60685311747</v>
      </c>
      <c r="F8" s="89">
        <f t="shared" si="0"/>
        <v>731866.99786668119</v>
      </c>
      <c r="G8" s="89">
        <f t="shared" si="0"/>
        <v>721424.88990986708</v>
      </c>
      <c r="H8" s="89">
        <f t="shared" si="0"/>
        <v>0</v>
      </c>
    </row>
    <row r="9" spans="2:13" ht="15" customHeight="1" outlineLevel="1" x14ac:dyDescent="0.25">
      <c r="B9" s="83" t="s">
        <v>41</v>
      </c>
      <c r="C9" s="88">
        <v>879503.671404414</v>
      </c>
      <c r="D9" s="88">
        <v>116200.69361366992</v>
      </c>
      <c r="E9" s="88">
        <v>6466.5068531174747</v>
      </c>
      <c r="F9" s="88">
        <v>443401.94445615966</v>
      </c>
      <c r="G9" s="88">
        <v>668772.55990986712</v>
      </c>
      <c r="H9" s="88">
        <v>0</v>
      </c>
    </row>
    <row r="10" spans="2:13" ht="15" customHeight="1" outlineLevel="1" x14ac:dyDescent="0.25">
      <c r="B10" s="87" t="s">
        <v>40</v>
      </c>
      <c r="C10" s="88">
        <v>3528</v>
      </c>
      <c r="D10" s="88">
        <v>611</v>
      </c>
      <c r="E10" s="88">
        <v>16378</v>
      </c>
      <c r="F10" s="88">
        <v>7449</v>
      </c>
      <c r="G10" s="88">
        <v>0</v>
      </c>
      <c r="H10" s="88">
        <v>0</v>
      </c>
    </row>
    <row r="11" spans="2:13" ht="15" customHeight="1" outlineLevel="1" x14ac:dyDescent="0.25">
      <c r="B11" s="83" t="s">
        <v>39</v>
      </c>
      <c r="C11" s="88">
        <v>162800</v>
      </c>
      <c r="D11" s="88">
        <v>80000</v>
      </c>
      <c r="E11" s="88">
        <v>61975</v>
      </c>
      <c r="F11" s="88">
        <v>0</v>
      </c>
      <c r="G11" s="88">
        <v>0</v>
      </c>
      <c r="H11" s="88">
        <v>0</v>
      </c>
    </row>
    <row r="12" spans="2:13" ht="15" customHeight="1" outlineLevel="1" x14ac:dyDescent="0.25">
      <c r="B12" s="87" t="s">
        <v>38</v>
      </c>
      <c r="C12" s="88">
        <v>0</v>
      </c>
      <c r="D12" s="88">
        <v>0</v>
      </c>
      <c r="E12" s="88">
        <v>4469</v>
      </c>
      <c r="F12" s="88">
        <v>19468.179570956621</v>
      </c>
      <c r="G12" s="88">
        <v>0</v>
      </c>
      <c r="H12" s="88">
        <v>0</v>
      </c>
    </row>
    <row r="13" spans="2:13" ht="15" customHeight="1" outlineLevel="1" x14ac:dyDescent="0.25">
      <c r="B13" s="76" t="s">
        <v>37</v>
      </c>
      <c r="C13" s="75">
        <f t="shared" ref="C13:H13" si="1">SUM(C14:C14)</f>
        <v>53612.174996947651</v>
      </c>
      <c r="D13" s="75">
        <f t="shared" si="1"/>
        <v>2933632.27</v>
      </c>
      <c r="E13" s="75">
        <f t="shared" si="1"/>
        <v>126348.1</v>
      </c>
      <c r="F13" s="75">
        <f t="shared" si="1"/>
        <v>261547.87383956491</v>
      </c>
      <c r="G13" s="75">
        <f t="shared" si="1"/>
        <v>52652.329999999994</v>
      </c>
      <c r="H13" s="75">
        <f t="shared" si="1"/>
        <v>0</v>
      </c>
    </row>
    <row r="14" spans="2:13" ht="15" customHeight="1" outlineLevel="2" x14ac:dyDescent="0.25">
      <c r="B14" s="74" t="s">
        <v>36</v>
      </c>
      <c r="C14" s="88">
        <v>53612.174996947651</v>
      </c>
      <c r="D14" s="88">
        <v>2933632.27</v>
      </c>
      <c r="E14" s="88">
        <v>126348.1</v>
      </c>
      <c r="F14" s="88">
        <v>261547.87383956491</v>
      </c>
      <c r="G14" s="88">
        <v>52652.329999999994</v>
      </c>
      <c r="H14" s="88">
        <v>0</v>
      </c>
    </row>
    <row r="15" spans="2:13" ht="15" customHeight="1" x14ac:dyDescent="0.25">
      <c r="B15" s="86" t="s">
        <v>35</v>
      </c>
      <c r="C15" s="75">
        <f t="shared" ref="C15:H15" si="2">C16+C17+C20+C21</f>
        <v>1380596.25</v>
      </c>
      <c r="D15" s="75">
        <f t="shared" si="2"/>
        <v>416080.625</v>
      </c>
      <c r="E15" s="75">
        <f t="shared" si="2"/>
        <v>12152.069444444445</v>
      </c>
      <c r="F15" s="75">
        <f t="shared" si="2"/>
        <v>210978.41394595656</v>
      </c>
      <c r="G15" s="75">
        <f t="shared" si="2"/>
        <v>435405.58627884643</v>
      </c>
      <c r="H15" s="75">
        <f t="shared" si="2"/>
        <v>0</v>
      </c>
    </row>
    <row r="16" spans="2:13" ht="15" customHeight="1" outlineLevel="1" x14ac:dyDescent="0.25">
      <c r="B16" s="87" t="s">
        <v>34</v>
      </c>
      <c r="C16" s="88">
        <v>4200</v>
      </c>
      <c r="D16" s="88">
        <v>4600</v>
      </c>
      <c r="E16" s="88">
        <v>901.44444444444434</v>
      </c>
      <c r="F16" s="88">
        <v>13750</v>
      </c>
      <c r="G16" s="88">
        <v>7600</v>
      </c>
      <c r="H16" s="88">
        <v>0</v>
      </c>
      <c r="K16" s="92"/>
      <c r="M16" s="92"/>
    </row>
    <row r="17" spans="2:11" ht="15" customHeight="1" outlineLevel="1" x14ac:dyDescent="0.25">
      <c r="B17" s="76" t="s">
        <v>0</v>
      </c>
      <c r="C17" s="75">
        <f t="shared" ref="C17:H17" si="3">SUM(C18:C19)</f>
        <v>576396.25</v>
      </c>
      <c r="D17" s="75">
        <f t="shared" si="3"/>
        <v>411480.625</v>
      </c>
      <c r="E17" s="75">
        <f t="shared" si="3"/>
        <v>5480.625</v>
      </c>
      <c r="F17" s="75">
        <f t="shared" si="3"/>
        <v>10565</v>
      </c>
      <c r="G17" s="75">
        <f t="shared" si="3"/>
        <v>0</v>
      </c>
      <c r="H17" s="75">
        <f t="shared" si="3"/>
        <v>0</v>
      </c>
    </row>
    <row r="18" spans="2:11" ht="15" customHeight="1" outlineLevel="2" x14ac:dyDescent="0.25">
      <c r="B18" s="74" t="s">
        <v>33</v>
      </c>
      <c r="C18" s="88">
        <v>576396.25</v>
      </c>
      <c r="D18" s="88">
        <v>411480.625</v>
      </c>
      <c r="E18" s="88">
        <v>5480.625</v>
      </c>
      <c r="F18" s="88">
        <v>10565</v>
      </c>
      <c r="G18" s="88">
        <v>0</v>
      </c>
      <c r="H18" s="88">
        <v>0</v>
      </c>
    </row>
    <row r="19" spans="2:11" ht="15" customHeight="1" outlineLevel="2" x14ac:dyDescent="0.25">
      <c r="B19" s="72" t="s">
        <v>32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K19" s="92"/>
    </row>
    <row r="20" spans="2:11" ht="15" customHeight="1" outlineLevel="1" x14ac:dyDescent="0.25">
      <c r="B20" s="87" t="s">
        <v>31</v>
      </c>
      <c r="C20" s="88">
        <v>0</v>
      </c>
      <c r="D20" s="88">
        <v>0</v>
      </c>
      <c r="E20" s="88">
        <v>0</v>
      </c>
      <c r="F20" s="88">
        <v>186663.41394595656</v>
      </c>
      <c r="G20" s="88">
        <v>427805.58627884643</v>
      </c>
      <c r="H20" s="88">
        <v>0</v>
      </c>
    </row>
    <row r="21" spans="2:11" ht="15" customHeight="1" outlineLevel="1" x14ac:dyDescent="0.25">
      <c r="B21" s="83" t="s">
        <v>30</v>
      </c>
      <c r="C21" s="88">
        <v>800000</v>
      </c>
      <c r="D21" s="88">
        <v>0</v>
      </c>
      <c r="E21" s="88">
        <v>5770</v>
      </c>
      <c r="F21" s="88">
        <v>0</v>
      </c>
      <c r="G21" s="88">
        <v>0</v>
      </c>
      <c r="H21" s="88">
        <v>0</v>
      </c>
    </row>
    <row r="22" spans="2:11" ht="15" customHeight="1" x14ac:dyDescent="0.25">
      <c r="B22" s="77" t="s">
        <v>29</v>
      </c>
      <c r="C22" s="89">
        <f t="shared" ref="C22:H22" si="4">C8-C15</f>
        <v>-281152.40359863825</v>
      </c>
      <c r="D22" s="89">
        <f t="shared" si="4"/>
        <v>2714363.3386136699</v>
      </c>
      <c r="E22" s="89">
        <f t="shared" si="4"/>
        <v>203484.53740867303</v>
      </c>
      <c r="F22" s="89">
        <f t="shared" si="4"/>
        <v>520888.58392072463</v>
      </c>
      <c r="G22" s="89">
        <f t="shared" si="4"/>
        <v>286019.30363102065</v>
      </c>
      <c r="H22" s="89">
        <f t="shared" si="4"/>
        <v>0</v>
      </c>
    </row>
    <row r="23" spans="2:11" ht="15" customHeight="1" outlineLevel="1" x14ac:dyDescent="0.25">
      <c r="B23" s="76" t="s">
        <v>28</v>
      </c>
      <c r="C23" s="75">
        <f t="shared" ref="C23:H23" si="5">C24+C26</f>
        <v>140500</v>
      </c>
      <c r="D23" s="75">
        <f t="shared" si="5"/>
        <v>0</v>
      </c>
      <c r="E23" s="75">
        <f t="shared" si="5"/>
        <v>0</v>
      </c>
      <c r="F23" s="75">
        <f t="shared" si="5"/>
        <v>0</v>
      </c>
      <c r="G23" s="75">
        <f t="shared" si="5"/>
        <v>0</v>
      </c>
      <c r="H23" s="75">
        <f t="shared" si="5"/>
        <v>0</v>
      </c>
    </row>
    <row r="24" spans="2:11" ht="15" customHeight="1" outlineLevel="2" x14ac:dyDescent="0.25">
      <c r="B24" s="74" t="s">
        <v>27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</row>
    <row r="25" spans="2:11" ht="15" customHeight="1" outlineLevel="2" x14ac:dyDescent="0.25">
      <c r="B25" s="72" t="s">
        <v>26</v>
      </c>
      <c r="C25" s="88">
        <v>4300</v>
      </c>
      <c r="D25" s="88">
        <v>5800</v>
      </c>
      <c r="E25" s="88">
        <v>9700</v>
      </c>
      <c r="F25" s="88">
        <v>12500</v>
      </c>
      <c r="G25" s="88">
        <v>5000</v>
      </c>
      <c r="H25" s="88">
        <v>0</v>
      </c>
    </row>
    <row r="26" spans="2:11" ht="15" customHeight="1" outlineLevel="2" x14ac:dyDescent="0.25">
      <c r="B26" s="74" t="s">
        <v>25</v>
      </c>
      <c r="C26" s="88">
        <v>140500</v>
      </c>
      <c r="D26" s="88">
        <v>0</v>
      </c>
      <c r="E26" s="88">
        <v>0</v>
      </c>
      <c r="F26" s="88">
        <v>0</v>
      </c>
      <c r="G26" s="88">
        <v>0</v>
      </c>
      <c r="H26" s="88">
        <v>0</v>
      </c>
    </row>
    <row r="27" spans="2:11" ht="15" customHeight="1" outlineLevel="1" x14ac:dyDescent="0.25">
      <c r="B27" s="76" t="s">
        <v>24</v>
      </c>
      <c r="C27" s="75">
        <f t="shared" ref="C27:H28" si="6">C28</f>
        <v>0</v>
      </c>
      <c r="D27" s="75">
        <f t="shared" si="6"/>
        <v>0</v>
      </c>
      <c r="E27" s="75">
        <f t="shared" si="6"/>
        <v>0</v>
      </c>
      <c r="F27" s="75">
        <f t="shared" si="6"/>
        <v>0</v>
      </c>
      <c r="G27" s="75">
        <f t="shared" si="6"/>
        <v>0</v>
      </c>
      <c r="H27" s="75">
        <f t="shared" si="6"/>
        <v>0</v>
      </c>
    </row>
    <row r="28" spans="2:11" ht="15" customHeight="1" outlineLevel="2" x14ac:dyDescent="0.25">
      <c r="B28" s="91" t="s">
        <v>23</v>
      </c>
      <c r="C28" s="89">
        <f t="shared" si="6"/>
        <v>0</v>
      </c>
      <c r="D28" s="89">
        <f t="shared" si="6"/>
        <v>0</v>
      </c>
      <c r="E28" s="89">
        <f t="shared" si="6"/>
        <v>0</v>
      </c>
      <c r="F28" s="89">
        <f t="shared" si="6"/>
        <v>0</v>
      </c>
      <c r="G28" s="89">
        <f t="shared" si="6"/>
        <v>0</v>
      </c>
      <c r="H28" s="89">
        <f t="shared" si="6"/>
        <v>0</v>
      </c>
    </row>
    <row r="29" spans="2:11" ht="15" customHeight="1" outlineLevel="3" x14ac:dyDescent="0.25">
      <c r="B29" s="90" t="s">
        <v>22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</row>
    <row r="30" spans="2:11" ht="15" customHeight="1" x14ac:dyDescent="0.25">
      <c r="B30" s="77" t="s">
        <v>21</v>
      </c>
      <c r="C30" s="89">
        <f t="shared" ref="C30:H30" si="7">C22+C23-C25-C27</f>
        <v>-144952.40359863825</v>
      </c>
      <c r="D30" s="89">
        <f t="shared" si="7"/>
        <v>2708563.3386136699</v>
      </c>
      <c r="E30" s="89">
        <f t="shared" si="7"/>
        <v>193784.53740867303</v>
      </c>
      <c r="F30" s="89">
        <f t="shared" si="7"/>
        <v>508388.58392072463</v>
      </c>
      <c r="G30" s="89">
        <f t="shared" si="7"/>
        <v>281019.30363102065</v>
      </c>
      <c r="H30" s="89">
        <f t="shared" si="7"/>
        <v>0</v>
      </c>
    </row>
    <row r="31" spans="2:11" ht="15" customHeight="1" outlineLevel="1" x14ac:dyDescent="0.25">
      <c r="B31" s="76" t="s">
        <v>20</v>
      </c>
      <c r="C31" s="75">
        <f t="shared" ref="C31:H31" si="8">SUM(C32:C35)</f>
        <v>0</v>
      </c>
      <c r="D31" s="75">
        <f t="shared" si="8"/>
        <v>0</v>
      </c>
      <c r="E31" s="75">
        <f t="shared" si="8"/>
        <v>0</v>
      </c>
      <c r="F31" s="75">
        <f t="shared" si="8"/>
        <v>19720</v>
      </c>
      <c r="G31" s="75">
        <f t="shared" si="8"/>
        <v>39840</v>
      </c>
      <c r="H31" s="75">
        <f t="shared" si="8"/>
        <v>0</v>
      </c>
    </row>
    <row r="32" spans="2:11" ht="15" customHeight="1" outlineLevel="2" x14ac:dyDescent="0.25">
      <c r="B32" s="74" t="s">
        <v>19</v>
      </c>
      <c r="C32" s="88">
        <v>0</v>
      </c>
      <c r="D32" s="88">
        <v>0</v>
      </c>
      <c r="E32" s="88">
        <v>0</v>
      </c>
      <c r="F32" s="88">
        <v>0</v>
      </c>
      <c r="G32" s="88">
        <v>18240</v>
      </c>
      <c r="H32" s="88">
        <v>0</v>
      </c>
    </row>
    <row r="33" spans="2:8" ht="15" customHeight="1" outlineLevel="2" x14ac:dyDescent="0.25">
      <c r="B33" s="72" t="s">
        <v>18</v>
      </c>
      <c r="C33" s="88">
        <v>0</v>
      </c>
      <c r="D33" s="88">
        <v>0</v>
      </c>
      <c r="E33" s="88">
        <v>0</v>
      </c>
      <c r="F33" s="88">
        <v>19720</v>
      </c>
      <c r="G33" s="88">
        <v>21600</v>
      </c>
      <c r="H33" s="88">
        <v>0</v>
      </c>
    </row>
    <row r="34" spans="2:8" ht="15" customHeight="1" outlineLevel="2" x14ac:dyDescent="0.25">
      <c r="B34" s="74" t="s">
        <v>17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</row>
    <row r="35" spans="2:8" ht="15" customHeight="1" outlineLevel="2" x14ac:dyDescent="0.25">
      <c r="B35" s="72" t="s">
        <v>16</v>
      </c>
      <c r="C35" s="88">
        <v>0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</row>
    <row r="36" spans="2:8" ht="15" customHeight="1" x14ac:dyDescent="0.25">
      <c r="B36" s="77" t="s">
        <v>15</v>
      </c>
      <c r="C36" s="89">
        <f t="shared" ref="C36:H36" si="9">C30-C31</f>
        <v>-144952.40359863825</v>
      </c>
      <c r="D36" s="89">
        <f t="shared" si="9"/>
        <v>2708563.3386136699</v>
      </c>
      <c r="E36" s="89">
        <f t="shared" si="9"/>
        <v>193784.53740867303</v>
      </c>
      <c r="F36" s="89">
        <f t="shared" si="9"/>
        <v>488668.58392072463</v>
      </c>
      <c r="G36" s="89">
        <f t="shared" si="9"/>
        <v>241179.30363102065</v>
      </c>
      <c r="H36" s="89">
        <f t="shared" si="9"/>
        <v>0</v>
      </c>
    </row>
    <row r="37" spans="2:8" ht="15" customHeight="1" outlineLevel="1" x14ac:dyDescent="0.25">
      <c r="B37" s="83" t="s">
        <v>14</v>
      </c>
      <c r="C37" s="88">
        <v>0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</row>
    <row r="38" spans="2:8" ht="15" customHeight="1" x14ac:dyDescent="0.25">
      <c r="B38" s="77" t="s">
        <v>13</v>
      </c>
      <c r="C38" s="89">
        <f t="shared" ref="C38:H38" si="10">C36-C37</f>
        <v>-144952.40359863825</v>
      </c>
      <c r="D38" s="89">
        <f t="shared" si="10"/>
        <v>2708563.3386136699</v>
      </c>
      <c r="E38" s="89">
        <f t="shared" si="10"/>
        <v>193784.53740867303</v>
      </c>
      <c r="F38" s="89">
        <f t="shared" si="10"/>
        <v>488668.58392072463</v>
      </c>
      <c r="G38" s="89">
        <f t="shared" si="10"/>
        <v>241179.30363102065</v>
      </c>
      <c r="H38" s="89">
        <f t="shared" si="10"/>
        <v>0</v>
      </c>
    </row>
    <row r="39" spans="2:8" ht="15" customHeight="1" outlineLevel="1" x14ac:dyDescent="0.25">
      <c r="B39" s="83" t="s">
        <v>12</v>
      </c>
      <c r="C39" s="88">
        <v>0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</row>
    <row r="40" spans="2:8" ht="15" customHeight="1" outlineLevel="1" x14ac:dyDescent="0.25">
      <c r="B40" s="83" t="s">
        <v>98</v>
      </c>
      <c r="C40" s="88">
        <v>53154.975527361392</v>
      </c>
      <c r="D40" s="88">
        <v>33632.270000000019</v>
      </c>
      <c r="E40" s="88">
        <v>26348.1</v>
      </c>
      <c r="F40" s="88">
        <v>61547.87383956492</v>
      </c>
      <c r="G40" s="88">
        <v>52652.329999999994</v>
      </c>
      <c r="H40" s="88">
        <v>0</v>
      </c>
    </row>
    <row r="41" spans="2:8" ht="15" customHeight="1" outlineLevel="1" x14ac:dyDescent="0.25">
      <c r="B41" s="87" t="s">
        <v>11</v>
      </c>
      <c r="C41" s="73">
        <f t="shared" ref="C41:H41" si="11">C38-C39</f>
        <v>-144952.40359863825</v>
      </c>
      <c r="D41" s="73">
        <f t="shared" si="11"/>
        <v>2708563.3386136699</v>
      </c>
      <c r="E41" s="73">
        <f t="shared" si="11"/>
        <v>193784.53740867303</v>
      </c>
      <c r="F41" s="73">
        <f t="shared" si="11"/>
        <v>488668.58392072463</v>
      </c>
      <c r="G41" s="73">
        <f t="shared" si="11"/>
        <v>241179.30363102065</v>
      </c>
      <c r="H41" s="73">
        <f t="shared" si="11"/>
        <v>0</v>
      </c>
    </row>
    <row r="42" spans="2:8" ht="15" customHeight="1" x14ac:dyDescent="0.25">
      <c r="B42" s="86" t="s">
        <v>10</v>
      </c>
      <c r="C42" s="86"/>
      <c r="D42" s="86"/>
      <c r="E42" s="86"/>
      <c r="F42" s="86"/>
      <c r="G42" s="86"/>
      <c r="H42" s="86"/>
    </row>
    <row r="43" spans="2:8" ht="15" customHeight="1" x14ac:dyDescent="0.25">
      <c r="B43" s="76" t="s">
        <v>9</v>
      </c>
      <c r="C43" s="85">
        <f t="shared" ref="C43:H43" si="12">C41/C44</f>
        <v>-1.8396272049464069</v>
      </c>
      <c r="D43" s="85">
        <f t="shared" si="12"/>
        <v>34.375054709896396</v>
      </c>
      <c r="E43" s="85">
        <f t="shared" si="12"/>
        <v>2.4593680274667666</v>
      </c>
      <c r="F43" s="85">
        <f t="shared" si="12"/>
        <v>6.2828638422269103</v>
      </c>
      <c r="G43" s="85">
        <f t="shared" si="12"/>
        <v>3.617725731722627</v>
      </c>
      <c r="H43" s="85">
        <f t="shared" si="12"/>
        <v>0</v>
      </c>
    </row>
    <row r="44" spans="2:8" ht="15" customHeight="1" outlineLevel="1" x14ac:dyDescent="0.25">
      <c r="B44" s="74" t="s">
        <v>8</v>
      </c>
      <c r="C44" s="84">
        <v>78794.444444444438</v>
      </c>
      <c r="D44" s="84">
        <v>78794.444444444438</v>
      </c>
      <c r="E44" s="84">
        <v>78794.444444444438</v>
      </c>
      <c r="F44" s="84">
        <v>77778</v>
      </c>
      <c r="G44" s="84">
        <v>66666</v>
      </c>
      <c r="H44" s="84">
        <v>66666</v>
      </c>
    </row>
    <row r="45" spans="2:8" ht="15" customHeight="1" outlineLevel="1" x14ac:dyDescent="0.25">
      <c r="B45" s="72" t="s">
        <v>5</v>
      </c>
      <c r="C45" s="79">
        <f t="shared" ref="C45:H45" si="13">C44</f>
        <v>78794.444444444438</v>
      </c>
      <c r="D45" s="79">
        <f t="shared" si="13"/>
        <v>78794.444444444438</v>
      </c>
      <c r="E45" s="79">
        <f t="shared" si="13"/>
        <v>78794.444444444438</v>
      </c>
      <c r="F45" s="79">
        <f t="shared" si="13"/>
        <v>77778</v>
      </c>
      <c r="G45" s="79">
        <f t="shared" si="13"/>
        <v>66666</v>
      </c>
      <c r="H45" s="79">
        <f t="shared" si="13"/>
        <v>66666</v>
      </c>
    </row>
    <row r="46" spans="2:8" ht="15" customHeight="1" x14ac:dyDescent="0.25">
      <c r="B46" s="76" t="s">
        <v>180</v>
      </c>
      <c r="C46" s="85">
        <f t="shared" ref="C46:H46" si="14">C41/C47</f>
        <v>-1.9435248679872241</v>
      </c>
      <c r="D46" s="85">
        <f t="shared" si="14"/>
        <v>36.731373761068241</v>
      </c>
      <c r="E46" s="85">
        <f t="shared" si="14"/>
        <v>2.6737711838813669</v>
      </c>
      <c r="F46" s="85">
        <f t="shared" si="14"/>
        <v>6.5520786235720783</v>
      </c>
      <c r="G46" s="85">
        <f t="shared" si="14"/>
        <v>3.2337371620868631</v>
      </c>
      <c r="H46" s="85">
        <f t="shared" si="14"/>
        <v>0</v>
      </c>
    </row>
    <row r="47" spans="2:8" ht="15" customHeight="1" outlineLevel="1" x14ac:dyDescent="0.25">
      <c r="B47" s="72" t="s">
        <v>181</v>
      </c>
      <c r="C47" s="79">
        <f>AVERAGE(C45:H45)</f>
        <v>74582.222222222219</v>
      </c>
      <c r="D47" s="79">
        <f>AVERAGE(D45:I45)</f>
        <v>73739.777777777781</v>
      </c>
      <c r="E47" s="79">
        <f>AVERAGE(E45:I45)</f>
        <v>72476.111111111109</v>
      </c>
      <c r="F47" s="79">
        <f>AVERAGE(C45:H45)</f>
        <v>74582.222222222219</v>
      </c>
      <c r="G47" s="79">
        <f>AVERAGE(C45:H45)</f>
        <v>74582.222222222219</v>
      </c>
      <c r="H47" s="79">
        <f>AVERAGE(C45:H45)</f>
        <v>74582.222222222219</v>
      </c>
    </row>
    <row r="48" spans="2:8" ht="15" customHeight="1" x14ac:dyDescent="0.25">
      <c r="B48" s="81" t="s">
        <v>7</v>
      </c>
      <c r="C48" s="80">
        <f t="shared" ref="C48:H48" si="15">C41/C49</f>
        <v>-0.51806749125764706</v>
      </c>
      <c r="D48" s="80">
        <f t="shared" si="15"/>
        <v>9.6805473997755982</v>
      </c>
      <c r="E48" s="80">
        <f t="shared" si="15"/>
        <v>0.69259609808069467</v>
      </c>
      <c r="F48" s="80">
        <f t="shared" si="15"/>
        <v>1.7528950775194765</v>
      </c>
      <c r="G48" s="80">
        <f t="shared" si="15"/>
        <v>3.617725731722627</v>
      </c>
      <c r="H48" s="80">
        <f t="shared" si="15"/>
        <v>0</v>
      </c>
    </row>
    <row r="49" spans="2:8" ht="15" customHeight="1" outlineLevel="1" x14ac:dyDescent="0.25">
      <c r="B49" s="72" t="s">
        <v>6</v>
      </c>
      <c r="C49" s="84">
        <v>279794.44</v>
      </c>
      <c r="D49" s="84">
        <v>279794.44</v>
      </c>
      <c r="E49" s="84">
        <v>279794.44</v>
      </c>
      <c r="F49" s="84">
        <v>278778</v>
      </c>
      <c r="G49" s="84">
        <v>66666</v>
      </c>
      <c r="H49" s="84">
        <v>66666</v>
      </c>
    </row>
    <row r="50" spans="2:8" ht="15" customHeight="1" outlineLevel="1" x14ac:dyDescent="0.25">
      <c r="B50" s="74" t="s">
        <v>5</v>
      </c>
      <c r="C50" s="82">
        <f t="shared" ref="C50:H50" si="16">C45</f>
        <v>78794.444444444438</v>
      </c>
      <c r="D50" s="82">
        <f t="shared" si="16"/>
        <v>78794.444444444438</v>
      </c>
      <c r="E50" s="82">
        <f t="shared" si="16"/>
        <v>78794.444444444438</v>
      </c>
      <c r="F50" s="82">
        <f t="shared" si="16"/>
        <v>77778</v>
      </c>
      <c r="G50" s="82">
        <f t="shared" si="16"/>
        <v>66666</v>
      </c>
      <c r="H50" s="82">
        <f t="shared" si="16"/>
        <v>66666</v>
      </c>
    </row>
    <row r="51" spans="2:8" ht="15" customHeight="1" x14ac:dyDescent="0.25">
      <c r="B51" s="83" t="s">
        <v>182</v>
      </c>
      <c r="C51" s="82" cm="1">
        <f t="array" ref="C51">INDEX(LINEST(C43:G43,D43:H43, TRUE, FALSE), 1)</f>
        <v>-0.44827212286180423</v>
      </c>
      <c r="D51" s="82" cm="1">
        <f t="array" ref="D51">INDEX(LINEST(D43:G43,E43:H43, TRUE, FALSE), 1)</f>
        <v>-1.0621763728245652</v>
      </c>
      <c r="E51" s="82" cm="1">
        <f t="array" ref="E51">INDEX(LINEST(E43:G43,F43:H43, TRUE, FALSE), 1)</f>
        <v>-0.13116857241170851</v>
      </c>
      <c r="F51" s="82" cm="1">
        <f t="array" ref="F51">INDEX(LINEST(F43:G43,G43:H43, TRUE, FALSE), 1)</f>
        <v>0.73668882279675818</v>
      </c>
      <c r="G51" s="82" cm="1">
        <f t="array" ref="G51">INDEX(LINEST(G43:G43,H43:H43, TRUE, FALSE), 1)</f>
        <v>0</v>
      </c>
      <c r="H51" s="78" t="s">
        <v>122</v>
      </c>
    </row>
    <row r="52" spans="2:8" ht="15" customHeight="1" x14ac:dyDescent="0.25">
      <c r="B52" s="81" t="s">
        <v>4</v>
      </c>
      <c r="C52" s="80">
        <f t="shared" ref="C52:H52" si="17">C40/C44</f>
        <v>0.67460308784636902</v>
      </c>
      <c r="D52" s="80">
        <f t="shared" si="17"/>
        <v>0.42683554960163606</v>
      </c>
      <c r="E52" s="80">
        <f t="shared" si="17"/>
        <v>0.33439032644715505</v>
      </c>
      <c r="F52" s="80">
        <f t="shared" si="17"/>
        <v>0.79132754557284735</v>
      </c>
      <c r="G52" s="80">
        <f t="shared" si="17"/>
        <v>0.78979284792847915</v>
      </c>
      <c r="H52" s="80">
        <f t="shared" si="17"/>
        <v>0</v>
      </c>
    </row>
    <row r="53" spans="2:8" ht="15" customHeight="1" outlineLevel="1" x14ac:dyDescent="0.25">
      <c r="B53" s="72" t="s">
        <v>3</v>
      </c>
      <c r="C53" s="79">
        <f>C52/C43</f>
        <v>-0.36670640988157271</v>
      </c>
      <c r="D53" s="79">
        <f>D52/D43</f>
        <v>1.2417014407798233E-2</v>
      </c>
      <c r="E53" s="79">
        <f>E52/E43</f>
        <v>0.1359659565842159</v>
      </c>
      <c r="F53" s="79">
        <f>F52/F43</f>
        <v>0.12595013443620445</v>
      </c>
      <c r="G53" s="79">
        <f>G52/G43</f>
        <v>0.21831197456541546</v>
      </c>
      <c r="H53" s="78" t="s">
        <v>122</v>
      </c>
    </row>
    <row r="54" spans="2:8" ht="15" customHeight="1" x14ac:dyDescent="0.25">
      <c r="B54" s="77" t="s">
        <v>2</v>
      </c>
      <c r="C54" s="77"/>
      <c r="D54" s="77"/>
      <c r="E54" s="77"/>
      <c r="F54" s="77"/>
      <c r="G54" s="77"/>
      <c r="H54" s="77"/>
    </row>
    <row r="55" spans="2:8" ht="15" customHeight="1" x14ac:dyDescent="0.25">
      <c r="B55" s="76" t="s">
        <v>2</v>
      </c>
      <c r="C55" s="75">
        <f t="shared" ref="C55:H55" si="18">C56+C57</f>
        <v>295243.84640136175</v>
      </c>
      <c r="D55" s="75">
        <f t="shared" si="18"/>
        <v>3125843.9636136699</v>
      </c>
      <c r="E55" s="75">
        <f t="shared" si="18"/>
        <v>208965.16240867303</v>
      </c>
      <c r="F55" s="75">
        <f t="shared" si="18"/>
        <v>531453.58392072469</v>
      </c>
      <c r="G55" s="75">
        <f t="shared" si="18"/>
        <v>286019.30363102065</v>
      </c>
      <c r="H55" s="75">
        <f t="shared" si="18"/>
        <v>0</v>
      </c>
    </row>
    <row r="56" spans="2:8" ht="15" customHeight="1" outlineLevel="1" x14ac:dyDescent="0.25">
      <c r="B56" s="74" t="s">
        <v>1</v>
      </c>
      <c r="C56" s="73">
        <f t="shared" ref="C56:H56" si="19">C22</f>
        <v>-281152.40359863825</v>
      </c>
      <c r="D56" s="73">
        <f t="shared" si="19"/>
        <v>2714363.3386136699</v>
      </c>
      <c r="E56" s="73">
        <f t="shared" si="19"/>
        <v>203484.53740867303</v>
      </c>
      <c r="F56" s="73">
        <f t="shared" si="19"/>
        <v>520888.58392072463</v>
      </c>
      <c r="G56" s="73">
        <f t="shared" si="19"/>
        <v>286019.30363102065</v>
      </c>
      <c r="H56" s="73">
        <f t="shared" si="19"/>
        <v>0</v>
      </c>
    </row>
    <row r="57" spans="2:8" ht="15" customHeight="1" outlineLevel="1" x14ac:dyDescent="0.25">
      <c r="B57" s="72" t="s">
        <v>0</v>
      </c>
      <c r="C57" s="71">
        <f t="shared" ref="C57:H57" si="20">C17</f>
        <v>576396.25</v>
      </c>
      <c r="D57" s="71">
        <f t="shared" si="20"/>
        <v>411480.625</v>
      </c>
      <c r="E57" s="71">
        <f t="shared" si="20"/>
        <v>5480.625</v>
      </c>
      <c r="F57" s="71">
        <f t="shared" si="20"/>
        <v>10565</v>
      </c>
      <c r="G57" s="71">
        <f t="shared" si="20"/>
        <v>0</v>
      </c>
      <c r="H57" s="71">
        <f t="shared" si="20"/>
        <v>0</v>
      </c>
    </row>
    <row r="58" spans="2:8" ht="15" customHeight="1" x14ac:dyDescent="0.25">
      <c r="B58" s="70" t="s">
        <v>120</v>
      </c>
    </row>
  </sheetData>
  <mergeCells count="1">
    <mergeCell ref="B1:C1"/>
  </mergeCells>
  <pageMargins left="0.75" right="0.75" top="1" bottom="1" header="0.5" footer="0.5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612E-778F-4FC1-9A1F-15D9B65B80A5}">
  <sheetPr>
    <outlinePr summaryBelow="0" summaryRight="0"/>
  </sheetPr>
  <dimension ref="B1:P110"/>
  <sheetViews>
    <sheetView tabSelected="1" topLeftCell="A20" workbookViewId="0">
      <selection activeCell="C50" sqref="C50"/>
    </sheetView>
  </sheetViews>
  <sheetFormatPr defaultColWidth="9.109375" defaultRowHeight="15" customHeight="1" outlineLevelRow="3" x14ac:dyDescent="0.25"/>
  <cols>
    <col min="1" max="1" width="9.109375" style="1"/>
    <col min="2" max="2" width="53.109375" style="1" customWidth="1"/>
    <col min="3" max="4" width="12.6640625" style="1" bestFit="1" customWidth="1"/>
    <col min="5" max="8" width="11.6640625" style="1" bestFit="1" customWidth="1"/>
    <col min="9" max="9" width="9.109375" style="1"/>
    <col min="10" max="10" width="12.33203125" style="1" bestFit="1" customWidth="1"/>
    <col min="11" max="11" width="12.6640625" style="1" bestFit="1" customWidth="1"/>
    <col min="12" max="13" width="10.109375" style="1" bestFit="1" customWidth="1"/>
    <col min="14" max="14" width="12.33203125" style="1" bestFit="1" customWidth="1"/>
    <col min="15" max="16384" width="9.109375" style="1"/>
  </cols>
  <sheetData>
    <row r="1" spans="2:13" ht="15" customHeight="1" x14ac:dyDescent="0.3">
      <c r="B1" s="101" t="s">
        <v>117</v>
      </c>
      <c r="C1" s="102"/>
      <c r="D1" s="42"/>
      <c r="E1" s="42"/>
      <c r="F1" s="42"/>
      <c r="G1" s="42"/>
      <c r="H1" s="42"/>
    </row>
    <row r="2" spans="2:13" ht="15" customHeight="1" x14ac:dyDescent="0.3">
      <c r="B2" s="43">
        <f>Shareholders!B2</f>
        <v>445</v>
      </c>
      <c r="C2" s="36"/>
      <c r="D2" s="36"/>
      <c r="E2" s="36"/>
      <c r="F2" s="36"/>
      <c r="G2" s="36"/>
      <c r="H2" s="36"/>
    </row>
    <row r="3" spans="2:13" ht="15" customHeight="1" x14ac:dyDescent="0.25">
      <c r="B3" s="23"/>
    </row>
    <row r="5" spans="2:13" ht="15" customHeight="1" x14ac:dyDescent="0.25">
      <c r="B5" s="22" t="s">
        <v>118</v>
      </c>
      <c r="C5" s="22"/>
      <c r="D5" s="22"/>
      <c r="E5" s="22"/>
      <c r="F5" s="22"/>
      <c r="G5" s="22"/>
      <c r="H5" s="22"/>
    </row>
    <row r="6" spans="2:13" ht="15" customHeight="1" x14ac:dyDescent="0.25">
      <c r="B6" s="22" t="s">
        <v>119</v>
      </c>
      <c r="C6" s="22"/>
      <c r="D6" s="22"/>
      <c r="E6" s="22"/>
      <c r="F6" s="22"/>
      <c r="G6" s="22"/>
      <c r="H6" s="22"/>
    </row>
    <row r="7" spans="2:13" ht="15" customHeight="1" x14ac:dyDescent="0.25">
      <c r="B7" s="22"/>
      <c r="C7" s="29">
        <v>45961</v>
      </c>
      <c r="D7" s="29">
        <v>45930</v>
      </c>
      <c r="E7" s="29">
        <v>45900</v>
      </c>
      <c r="F7" s="29">
        <v>45869</v>
      </c>
      <c r="G7" s="29">
        <v>45838</v>
      </c>
      <c r="H7" s="29">
        <v>45808</v>
      </c>
    </row>
    <row r="8" spans="2:13" ht="15" customHeight="1" x14ac:dyDescent="0.25">
      <c r="B8" s="17" t="s">
        <v>81</v>
      </c>
      <c r="C8" s="17"/>
      <c r="D8" s="17"/>
      <c r="E8" s="17"/>
      <c r="F8" s="17"/>
      <c r="G8" s="17"/>
      <c r="H8" s="17"/>
    </row>
    <row r="9" spans="2:13" ht="15" customHeight="1" outlineLevel="1" x14ac:dyDescent="0.25">
      <c r="B9" s="12" t="s">
        <v>80</v>
      </c>
      <c r="C9" s="11">
        <f t="shared" ref="C9:H9" si="0">SUM(C10:C11)</f>
        <v>842769.93632736127</v>
      </c>
      <c r="D9" s="11">
        <f t="shared" si="0"/>
        <v>425067.04492294719</v>
      </c>
      <c r="E9" s="11">
        <f t="shared" si="0"/>
        <v>809448.35130927735</v>
      </c>
      <c r="F9" s="11">
        <f t="shared" si="0"/>
        <v>1307725.84445616</v>
      </c>
      <c r="G9" s="11">
        <f t="shared" si="0"/>
        <v>390384.23</v>
      </c>
      <c r="H9" s="11">
        <f t="shared" si="0"/>
        <v>126760</v>
      </c>
    </row>
    <row r="10" spans="2:13" ht="15" customHeight="1" outlineLevel="2" x14ac:dyDescent="0.25">
      <c r="B10" s="4" t="s">
        <v>79</v>
      </c>
      <c r="C10" s="32">
        <v>226511.93632736127</v>
      </c>
      <c r="D10" s="32">
        <v>312422.04492294719</v>
      </c>
      <c r="E10" s="32">
        <v>401066.35130927735</v>
      </c>
      <c r="F10" s="32">
        <v>929654.84445615986</v>
      </c>
      <c r="G10" s="32">
        <v>390384.23</v>
      </c>
      <c r="H10" s="32">
        <v>126760</v>
      </c>
    </row>
    <row r="11" spans="2:13" ht="15" customHeight="1" outlineLevel="2" x14ac:dyDescent="0.25">
      <c r="B11" s="4" t="s">
        <v>121</v>
      </c>
      <c r="C11" s="32">
        <v>616258</v>
      </c>
      <c r="D11" s="32">
        <v>112645</v>
      </c>
      <c r="E11" s="32">
        <v>408382</v>
      </c>
      <c r="F11" s="32">
        <v>378071</v>
      </c>
      <c r="G11" s="32">
        <v>0</v>
      </c>
      <c r="H11" s="32">
        <v>0</v>
      </c>
    </row>
    <row r="12" spans="2:13" ht="15" customHeight="1" outlineLevel="1" x14ac:dyDescent="0.25">
      <c r="B12" s="16" t="s">
        <v>78</v>
      </c>
      <c r="C12" s="32">
        <v>838800</v>
      </c>
      <c r="D12" s="32">
        <v>38800</v>
      </c>
      <c r="E12" s="32">
        <v>0</v>
      </c>
      <c r="F12" s="32">
        <v>0</v>
      </c>
      <c r="G12" s="32">
        <v>187200</v>
      </c>
      <c r="H12" s="32">
        <v>0</v>
      </c>
    </row>
    <row r="13" spans="2:13" ht="15" customHeight="1" outlineLevel="1" x14ac:dyDescent="0.25">
      <c r="B13" s="8" t="s">
        <v>77</v>
      </c>
      <c r="C13" s="15">
        <f t="shared" ref="C13:H13" si="1">SUM(C14:C25)</f>
        <v>1804000</v>
      </c>
      <c r="D13" s="15">
        <f t="shared" si="1"/>
        <v>15804000</v>
      </c>
      <c r="E13" s="15">
        <f t="shared" si="1"/>
        <v>1624000</v>
      </c>
      <c r="F13" s="15">
        <f t="shared" si="1"/>
        <v>480000</v>
      </c>
      <c r="G13" s="15">
        <f t="shared" si="1"/>
        <v>20000</v>
      </c>
      <c r="H13" s="15">
        <f t="shared" si="1"/>
        <v>0</v>
      </c>
      <c r="K13" s="35"/>
      <c r="M13" s="35"/>
    </row>
    <row r="14" spans="2:13" ht="15" customHeight="1" outlineLevel="2" x14ac:dyDescent="0.25">
      <c r="B14" s="4" t="s">
        <v>127</v>
      </c>
      <c r="C14" s="32">
        <v>0</v>
      </c>
      <c r="D14" s="32">
        <v>0</v>
      </c>
      <c r="E14" s="32">
        <v>20000</v>
      </c>
      <c r="F14" s="32">
        <v>20000</v>
      </c>
      <c r="G14" s="32">
        <v>20000</v>
      </c>
      <c r="H14" s="32">
        <v>0</v>
      </c>
    </row>
    <row r="15" spans="2:13" ht="15" customHeight="1" outlineLevel="2" x14ac:dyDescent="0.25">
      <c r="B15" s="4" t="s">
        <v>128</v>
      </c>
      <c r="C15" s="32">
        <v>160000</v>
      </c>
      <c r="D15" s="32">
        <v>160000</v>
      </c>
      <c r="E15" s="32">
        <v>160000</v>
      </c>
      <c r="F15" s="32">
        <v>160000</v>
      </c>
      <c r="G15" s="32">
        <v>0</v>
      </c>
      <c r="H15" s="32">
        <v>0</v>
      </c>
      <c r="K15" s="35"/>
      <c r="L15" s="35"/>
    </row>
    <row r="16" spans="2:13" ht="15" customHeight="1" outlineLevel="2" x14ac:dyDescent="0.25">
      <c r="B16" s="4" t="s">
        <v>129</v>
      </c>
      <c r="C16" s="32">
        <v>300000</v>
      </c>
      <c r="D16" s="32">
        <v>300000</v>
      </c>
      <c r="E16" s="32">
        <v>300000</v>
      </c>
      <c r="F16" s="32">
        <v>300000</v>
      </c>
      <c r="G16" s="32">
        <v>0</v>
      </c>
      <c r="H16" s="32">
        <v>0</v>
      </c>
      <c r="M16" s="35"/>
    </row>
    <row r="17" spans="2:13" ht="15" customHeight="1" outlineLevel="2" x14ac:dyDescent="0.25">
      <c r="B17" s="4" t="s">
        <v>205</v>
      </c>
      <c r="C17" s="32">
        <v>0</v>
      </c>
      <c r="D17" s="32">
        <v>0</v>
      </c>
      <c r="E17" s="32">
        <v>100000</v>
      </c>
      <c r="F17" s="32">
        <v>0</v>
      </c>
      <c r="G17" s="32">
        <v>0</v>
      </c>
      <c r="H17" s="32">
        <v>0</v>
      </c>
      <c r="M17" s="35"/>
    </row>
    <row r="18" spans="2:13" ht="15" customHeight="1" outlineLevel="2" x14ac:dyDescent="0.25">
      <c r="B18" s="4" t="s">
        <v>207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M18" s="35"/>
    </row>
    <row r="19" spans="2:13" ht="15" customHeight="1" outlineLevel="2" x14ac:dyDescent="0.25">
      <c r="B19" s="4" t="s">
        <v>208</v>
      </c>
      <c r="C19" s="32">
        <v>82500</v>
      </c>
      <c r="D19" s="32">
        <v>82500</v>
      </c>
      <c r="E19" s="32">
        <v>82500</v>
      </c>
      <c r="F19" s="32">
        <v>0</v>
      </c>
      <c r="G19" s="32">
        <v>0</v>
      </c>
      <c r="H19" s="32">
        <v>0</v>
      </c>
      <c r="K19" s="35"/>
      <c r="M19" s="35"/>
    </row>
    <row r="20" spans="2:13" ht="15" customHeight="1" outlineLevel="2" x14ac:dyDescent="0.25">
      <c r="B20" s="4" t="s">
        <v>209</v>
      </c>
      <c r="C20" s="32">
        <v>1500</v>
      </c>
      <c r="D20" s="32">
        <v>1500</v>
      </c>
      <c r="E20" s="32">
        <v>1500</v>
      </c>
      <c r="F20" s="32">
        <v>0</v>
      </c>
      <c r="G20" s="32">
        <v>0</v>
      </c>
      <c r="H20" s="32">
        <v>0</v>
      </c>
      <c r="K20" s="35"/>
      <c r="M20" s="35"/>
    </row>
    <row r="21" spans="2:13" ht="15" customHeight="1" outlineLevel="2" x14ac:dyDescent="0.25">
      <c r="B21" s="4" t="s">
        <v>210</v>
      </c>
      <c r="C21" s="32">
        <v>500000</v>
      </c>
      <c r="D21" s="32">
        <v>500000</v>
      </c>
      <c r="E21" s="32">
        <v>700000</v>
      </c>
      <c r="F21" s="32">
        <v>0</v>
      </c>
      <c r="G21" s="32">
        <v>0</v>
      </c>
      <c r="H21" s="32">
        <v>0</v>
      </c>
      <c r="K21" s="35"/>
      <c r="M21" s="35"/>
    </row>
    <row r="22" spans="2:13" ht="15" customHeight="1" outlineLevel="2" x14ac:dyDescent="0.25">
      <c r="B22" s="4" t="s">
        <v>212</v>
      </c>
      <c r="C22" s="32">
        <v>260000</v>
      </c>
      <c r="D22" s="32">
        <v>260000</v>
      </c>
      <c r="E22" s="32">
        <v>260000</v>
      </c>
      <c r="F22" s="32">
        <v>0</v>
      </c>
      <c r="G22" s="32">
        <v>0</v>
      </c>
      <c r="H22" s="32">
        <v>0</v>
      </c>
      <c r="K22" s="35"/>
      <c r="M22" s="35"/>
    </row>
    <row r="23" spans="2:13" ht="15" customHeight="1" outlineLevel="2" x14ac:dyDescent="0.25">
      <c r="B23" s="4" t="s">
        <v>220</v>
      </c>
      <c r="C23" s="32">
        <v>500000</v>
      </c>
      <c r="D23" s="32">
        <v>500000</v>
      </c>
      <c r="E23" s="32">
        <v>0</v>
      </c>
      <c r="F23" s="32">
        <v>0</v>
      </c>
      <c r="G23" s="32">
        <v>0</v>
      </c>
      <c r="H23" s="32">
        <v>0</v>
      </c>
      <c r="K23" s="35"/>
      <c r="M23" s="35"/>
    </row>
    <row r="24" spans="2:13" ht="15" customHeight="1" outlineLevel="2" x14ac:dyDescent="0.25">
      <c r="B24" s="4" t="s">
        <v>222</v>
      </c>
      <c r="C24" s="32">
        <v>0</v>
      </c>
      <c r="D24" s="32">
        <v>14000000</v>
      </c>
      <c r="E24" s="32">
        <v>0</v>
      </c>
      <c r="F24" s="32">
        <v>0</v>
      </c>
      <c r="G24" s="32">
        <v>0</v>
      </c>
      <c r="H24" s="32">
        <v>0</v>
      </c>
      <c r="K24" s="35"/>
      <c r="M24" s="35"/>
    </row>
    <row r="25" spans="2:13" ht="15" customHeight="1" outlineLevel="2" x14ac:dyDescent="0.25">
      <c r="B25" s="6" t="s">
        <v>76</v>
      </c>
      <c r="C25" s="32">
        <v>0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M25" s="35"/>
    </row>
    <row r="26" spans="2:13" ht="15" customHeight="1" outlineLevel="1" x14ac:dyDescent="0.25">
      <c r="B26" s="13" t="s">
        <v>75</v>
      </c>
      <c r="C26" s="32">
        <v>0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K26" s="35"/>
    </row>
    <row r="27" spans="2:13" ht="15" customHeight="1" outlineLevel="1" x14ac:dyDescent="0.25">
      <c r="B27" s="51" t="s">
        <v>145</v>
      </c>
      <c r="C27" s="54">
        <f t="shared" ref="C27:H27" si="2">C28+C29+C30</f>
        <v>0</v>
      </c>
      <c r="D27" s="54">
        <f t="shared" si="2"/>
        <v>0</v>
      </c>
      <c r="E27" s="54">
        <f t="shared" si="2"/>
        <v>0</v>
      </c>
      <c r="F27" s="54">
        <f t="shared" si="2"/>
        <v>0</v>
      </c>
      <c r="G27" s="54">
        <f t="shared" si="2"/>
        <v>5758.984375</v>
      </c>
      <c r="H27" s="54">
        <f t="shared" si="2"/>
        <v>18770.25</v>
      </c>
      <c r="K27" s="35"/>
    </row>
    <row r="28" spans="2:13" ht="15" customHeight="1" outlineLevel="2" x14ac:dyDescent="0.25">
      <c r="B28" s="52" t="s">
        <v>143</v>
      </c>
      <c r="C28" s="55">
        <v>0</v>
      </c>
      <c r="D28" s="55">
        <v>0</v>
      </c>
      <c r="E28" s="55">
        <v>0</v>
      </c>
      <c r="F28" s="55">
        <v>0</v>
      </c>
      <c r="G28" s="55">
        <v>0</v>
      </c>
      <c r="H28" s="55">
        <v>0</v>
      </c>
      <c r="K28" s="35"/>
    </row>
    <row r="29" spans="2:13" ht="15" customHeight="1" outlineLevel="2" x14ac:dyDescent="0.25">
      <c r="B29" s="53" t="s">
        <v>142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K29" s="35"/>
    </row>
    <row r="30" spans="2:13" ht="15" customHeight="1" outlineLevel="2" x14ac:dyDescent="0.25">
      <c r="B30" s="52" t="s">
        <v>141</v>
      </c>
      <c r="C30" s="55">
        <v>0</v>
      </c>
      <c r="D30" s="55">
        <v>0</v>
      </c>
      <c r="E30" s="55">
        <v>0</v>
      </c>
      <c r="F30" s="55">
        <v>0</v>
      </c>
      <c r="G30" s="55">
        <v>5758.984375</v>
      </c>
      <c r="H30" s="55">
        <v>18770.25</v>
      </c>
      <c r="K30" s="35"/>
    </row>
    <row r="31" spans="2:13" ht="15" customHeight="1" outlineLevel="1" x14ac:dyDescent="0.25">
      <c r="B31" s="40" t="s">
        <v>74</v>
      </c>
      <c r="C31" s="50">
        <f t="shared" ref="C31:H31" si="3">C32-C39</f>
        <v>-902000</v>
      </c>
      <c r="D31" s="50">
        <f t="shared" si="3"/>
        <v>-325603.75</v>
      </c>
      <c r="E31" s="50">
        <f t="shared" si="3"/>
        <v>5876.875</v>
      </c>
      <c r="F31" s="50">
        <f t="shared" si="3"/>
        <v>11357.5</v>
      </c>
      <c r="G31" s="50">
        <f t="shared" si="3"/>
        <v>21922.5</v>
      </c>
      <c r="H31" s="50">
        <f t="shared" si="3"/>
        <v>0</v>
      </c>
    </row>
    <row r="32" spans="2:13" ht="15" customHeight="1" outlineLevel="2" x14ac:dyDescent="0.25">
      <c r="B32" s="41" t="s">
        <v>146</v>
      </c>
      <c r="C32" s="50">
        <f t="shared" ref="C32:H32" si="4">SUM(C33:C38)</f>
        <v>21922.5</v>
      </c>
      <c r="D32" s="50">
        <f t="shared" si="4"/>
        <v>21922.5</v>
      </c>
      <c r="E32" s="50">
        <f t="shared" si="4"/>
        <v>21922.5</v>
      </c>
      <c r="F32" s="50">
        <f t="shared" si="4"/>
        <v>21922.5</v>
      </c>
      <c r="G32" s="50">
        <f t="shared" si="4"/>
        <v>21922.5</v>
      </c>
      <c r="H32" s="50">
        <f t="shared" si="4"/>
        <v>0</v>
      </c>
    </row>
    <row r="33" spans="2:11" ht="15" customHeight="1" outlineLevel="3" x14ac:dyDescent="0.25">
      <c r="B33" s="20" t="s">
        <v>144</v>
      </c>
      <c r="C33" s="32">
        <v>1585</v>
      </c>
      <c r="D33" s="32">
        <v>1585</v>
      </c>
      <c r="E33" s="32">
        <v>1585</v>
      </c>
      <c r="F33" s="32">
        <v>1585</v>
      </c>
      <c r="G33" s="32">
        <v>1585</v>
      </c>
      <c r="H33" s="32">
        <v>0</v>
      </c>
    </row>
    <row r="34" spans="2:11" ht="15" customHeight="1" outlineLevel="3" x14ac:dyDescent="0.25">
      <c r="B34" s="20" t="s">
        <v>147</v>
      </c>
      <c r="C34" s="32">
        <v>0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</row>
    <row r="35" spans="2:11" ht="15" customHeight="1" outlineLevel="3" x14ac:dyDescent="0.25">
      <c r="B35" s="20" t="s">
        <v>148</v>
      </c>
      <c r="C35" s="32">
        <v>20337.5</v>
      </c>
      <c r="D35" s="32">
        <v>20337.5</v>
      </c>
      <c r="E35" s="32">
        <v>20337.5</v>
      </c>
      <c r="F35" s="32">
        <v>20337.5</v>
      </c>
      <c r="G35" s="32">
        <v>20337.5</v>
      </c>
      <c r="H35" s="32">
        <v>0</v>
      </c>
    </row>
    <row r="36" spans="2:11" ht="15" customHeight="1" outlineLevel="3" x14ac:dyDescent="0.25">
      <c r="B36" s="20" t="s">
        <v>149</v>
      </c>
      <c r="C36" s="32">
        <v>0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</row>
    <row r="37" spans="2:11" ht="15" customHeight="1" outlineLevel="3" x14ac:dyDescent="0.25">
      <c r="B37" s="20" t="s">
        <v>150</v>
      </c>
      <c r="C37" s="32">
        <v>0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</row>
    <row r="38" spans="2:11" ht="15" customHeight="1" outlineLevel="3" x14ac:dyDescent="0.25">
      <c r="B38" s="20" t="s">
        <v>151</v>
      </c>
      <c r="C38" s="32">
        <v>0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</row>
    <row r="39" spans="2:11" ht="15" customHeight="1" outlineLevel="2" x14ac:dyDescent="0.25">
      <c r="B39" s="41" t="s">
        <v>152</v>
      </c>
      <c r="C39" s="50">
        <f t="shared" ref="C39:H39" si="5">SUM(C40:C44)</f>
        <v>923922.5</v>
      </c>
      <c r="D39" s="50">
        <f t="shared" si="5"/>
        <v>347526.25</v>
      </c>
      <c r="E39" s="50">
        <f t="shared" si="5"/>
        <v>16045.625</v>
      </c>
      <c r="F39" s="50">
        <f t="shared" si="5"/>
        <v>10565</v>
      </c>
      <c r="G39" s="50">
        <f t="shared" si="5"/>
        <v>0</v>
      </c>
      <c r="H39" s="50">
        <f t="shared" si="5"/>
        <v>0</v>
      </c>
    </row>
    <row r="40" spans="2:11" ht="15" customHeight="1" outlineLevel="3" x14ac:dyDescent="0.25">
      <c r="B40" s="20" t="s">
        <v>144</v>
      </c>
      <c r="C40" s="32">
        <v>1585</v>
      </c>
      <c r="D40" s="32">
        <v>1188.75</v>
      </c>
      <c r="E40" s="32">
        <v>792.5</v>
      </c>
      <c r="F40" s="32">
        <v>396.25</v>
      </c>
      <c r="G40" s="32">
        <v>0</v>
      </c>
      <c r="H40" s="32">
        <v>0</v>
      </c>
    </row>
    <row r="41" spans="2:11" ht="15" customHeight="1" outlineLevel="3" x14ac:dyDescent="0.25">
      <c r="B41" s="20" t="s">
        <v>147</v>
      </c>
      <c r="C41" s="32">
        <v>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</row>
    <row r="42" spans="2:11" ht="15" customHeight="1" outlineLevel="3" x14ac:dyDescent="0.25">
      <c r="B42" s="20" t="s">
        <v>148</v>
      </c>
      <c r="C42" s="32">
        <v>20337.5</v>
      </c>
      <c r="D42" s="32">
        <v>20337.5</v>
      </c>
      <c r="E42" s="32">
        <v>15253.125</v>
      </c>
      <c r="F42" s="32">
        <v>10168.75</v>
      </c>
      <c r="G42" s="32">
        <v>0</v>
      </c>
      <c r="H42" s="32">
        <v>0</v>
      </c>
    </row>
    <row r="43" spans="2:11" ht="15" customHeight="1" outlineLevel="3" x14ac:dyDescent="0.25">
      <c r="B43" s="20" t="s">
        <v>149</v>
      </c>
      <c r="C43" s="32">
        <v>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</row>
    <row r="44" spans="2:11" ht="15" customHeight="1" outlineLevel="3" x14ac:dyDescent="0.25">
      <c r="B44" s="20" t="s">
        <v>150</v>
      </c>
      <c r="C44" s="32">
        <v>902000</v>
      </c>
      <c r="D44" s="32">
        <v>326000</v>
      </c>
      <c r="E44" s="32">
        <v>0</v>
      </c>
      <c r="F44" s="32">
        <v>0</v>
      </c>
      <c r="G44" s="32">
        <v>0</v>
      </c>
      <c r="H44" s="32">
        <v>0</v>
      </c>
    </row>
    <row r="45" spans="2:11" ht="15" customHeight="1" outlineLevel="1" x14ac:dyDescent="0.25">
      <c r="B45" s="13" t="s">
        <v>73</v>
      </c>
      <c r="C45" s="32">
        <v>0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K45" s="35"/>
    </row>
    <row r="46" spans="2:11" ht="15" customHeight="1" outlineLevel="1" x14ac:dyDescent="0.25">
      <c r="B46" s="12" t="s">
        <v>72</v>
      </c>
      <c r="C46" s="11">
        <f t="shared" ref="C46:H46" si="6">SUM(C47:C48)</f>
        <v>0</v>
      </c>
      <c r="D46" s="11">
        <f t="shared" si="6"/>
        <v>0</v>
      </c>
      <c r="E46" s="11">
        <f t="shared" si="6"/>
        <v>0</v>
      </c>
      <c r="F46" s="11">
        <f t="shared" si="6"/>
        <v>0</v>
      </c>
      <c r="G46" s="11">
        <f t="shared" si="6"/>
        <v>0</v>
      </c>
      <c r="H46" s="11">
        <f t="shared" si="6"/>
        <v>0</v>
      </c>
    </row>
    <row r="47" spans="2:11" ht="15" customHeight="1" outlineLevel="2" x14ac:dyDescent="0.25">
      <c r="B47" s="4" t="s">
        <v>71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</row>
    <row r="48" spans="2:11" ht="15" customHeight="1" outlineLevel="2" x14ac:dyDescent="0.25">
      <c r="B48" s="6" t="s">
        <v>70</v>
      </c>
      <c r="C48" s="32">
        <v>0</v>
      </c>
      <c r="D48" s="32">
        <v>0</v>
      </c>
      <c r="E48" s="32">
        <v>0</v>
      </c>
      <c r="F48" s="32">
        <v>0</v>
      </c>
      <c r="G48" s="32">
        <v>0</v>
      </c>
      <c r="H48" s="32">
        <v>0</v>
      </c>
    </row>
    <row r="49" spans="2:15" ht="15" customHeight="1" x14ac:dyDescent="0.25">
      <c r="B49" s="13" t="s">
        <v>69</v>
      </c>
      <c r="C49" s="10">
        <f>C9+C12+C13+C26+C31+C45+C46+C27</f>
        <v>2583569.9363273615</v>
      </c>
      <c r="D49" s="10">
        <f t="shared" ref="C49:H49" si="7">D9+D12+D13+D26+D31+D45+D46+D27</f>
        <v>15942263.294922948</v>
      </c>
      <c r="E49" s="10">
        <f t="shared" si="7"/>
        <v>2439325.2263092771</v>
      </c>
      <c r="F49" s="10">
        <f t="shared" si="7"/>
        <v>1799083.34445616</v>
      </c>
      <c r="G49" s="10">
        <f t="shared" si="7"/>
        <v>625265.71437499998</v>
      </c>
      <c r="H49" s="10">
        <f t="shared" si="7"/>
        <v>145530.25</v>
      </c>
    </row>
    <row r="50" spans="2:15" ht="15" customHeight="1" x14ac:dyDescent="0.25">
      <c r="B50" s="9" t="s">
        <v>68</v>
      </c>
      <c r="C50" s="9"/>
      <c r="D50" s="9"/>
      <c r="E50" s="9"/>
      <c r="F50" s="9"/>
      <c r="G50" s="9"/>
      <c r="H50" s="9"/>
    </row>
    <row r="51" spans="2:15" ht="15" customHeight="1" x14ac:dyDescent="0.25">
      <c r="B51" s="8" t="s">
        <v>67</v>
      </c>
      <c r="C51" s="17"/>
      <c r="D51" s="17"/>
      <c r="E51" s="17"/>
      <c r="F51" s="17"/>
      <c r="G51" s="17"/>
      <c r="H51" s="17"/>
    </row>
    <row r="52" spans="2:15" ht="15" customHeight="1" outlineLevel="1" x14ac:dyDescent="0.25">
      <c r="B52" s="21" t="s">
        <v>66</v>
      </c>
      <c r="C52" s="11">
        <f t="shared" ref="C52:H52" si="8">SUM(C53:C56)</f>
        <v>271457.83632736141</v>
      </c>
      <c r="D52" s="11">
        <f t="shared" si="8"/>
        <v>159932.27000000002</v>
      </c>
      <c r="E52" s="11">
        <f t="shared" si="8"/>
        <v>152848.1</v>
      </c>
      <c r="F52" s="11">
        <f t="shared" si="8"/>
        <v>164047.87383956491</v>
      </c>
      <c r="G52" s="11">
        <f t="shared" si="8"/>
        <v>155152.32999999999</v>
      </c>
      <c r="H52" s="11">
        <f t="shared" si="8"/>
        <v>0</v>
      </c>
    </row>
    <row r="53" spans="2:15" ht="15" customHeight="1" outlineLevel="2" x14ac:dyDescent="0.25">
      <c r="B53" s="20" t="s">
        <v>65</v>
      </c>
      <c r="C53" s="32">
        <v>5600</v>
      </c>
      <c r="D53" s="32">
        <v>1300</v>
      </c>
      <c r="E53" s="32">
        <v>1500</v>
      </c>
      <c r="F53" s="32">
        <v>2500</v>
      </c>
      <c r="G53" s="32">
        <v>2500</v>
      </c>
      <c r="H53" s="32">
        <v>0</v>
      </c>
      <c r="J53" s="35"/>
      <c r="K53" s="35"/>
      <c r="L53" s="35"/>
      <c r="M53" s="35"/>
      <c r="N53" s="35"/>
    </row>
    <row r="54" spans="2:15" ht="15" customHeight="1" outlineLevel="2" x14ac:dyDescent="0.25">
      <c r="B54" s="24" t="s">
        <v>112</v>
      </c>
      <c r="C54" s="32">
        <v>79070.590800000005</v>
      </c>
      <c r="D54" s="32">
        <v>0</v>
      </c>
      <c r="E54" s="32">
        <v>0</v>
      </c>
      <c r="F54" s="32">
        <v>0</v>
      </c>
      <c r="G54" s="32">
        <v>0</v>
      </c>
      <c r="H54" s="32">
        <v>0</v>
      </c>
      <c r="J54" s="35"/>
      <c r="K54" s="35"/>
      <c r="L54" s="35"/>
      <c r="M54" s="35"/>
    </row>
    <row r="55" spans="2:15" ht="15" customHeight="1" outlineLevel="2" x14ac:dyDescent="0.25">
      <c r="B55" s="24" t="s">
        <v>139</v>
      </c>
      <c r="C55" s="32">
        <v>86787.245527361403</v>
      </c>
      <c r="D55" s="32">
        <v>33632.270000000019</v>
      </c>
      <c r="E55" s="32">
        <v>26348.1</v>
      </c>
      <c r="F55" s="32">
        <v>61547.87383956492</v>
      </c>
      <c r="G55" s="32">
        <v>52652.329999999994</v>
      </c>
      <c r="H55" s="32">
        <v>0</v>
      </c>
      <c r="L55" s="35"/>
    </row>
    <row r="56" spans="2:15" ht="15" customHeight="1" outlineLevel="2" x14ac:dyDescent="0.25">
      <c r="B56" s="28" t="s">
        <v>64</v>
      </c>
      <c r="C56" s="11">
        <f t="shared" ref="C56:H56" si="9">SUM(C57:C58)</f>
        <v>100000</v>
      </c>
      <c r="D56" s="11">
        <f t="shared" si="9"/>
        <v>125000</v>
      </c>
      <c r="E56" s="11">
        <f t="shared" si="9"/>
        <v>125000</v>
      </c>
      <c r="F56" s="11">
        <f t="shared" si="9"/>
        <v>100000</v>
      </c>
      <c r="G56" s="11">
        <f t="shared" si="9"/>
        <v>100000</v>
      </c>
      <c r="H56" s="11">
        <f t="shared" si="9"/>
        <v>0</v>
      </c>
    </row>
    <row r="57" spans="2:15" ht="15" customHeight="1" outlineLevel="3" x14ac:dyDescent="0.25">
      <c r="B57" s="27" t="s">
        <v>63</v>
      </c>
      <c r="C57" s="32">
        <v>100000</v>
      </c>
      <c r="D57" s="32">
        <v>125000</v>
      </c>
      <c r="E57" s="32">
        <v>125000</v>
      </c>
      <c r="F57" s="32">
        <v>100000</v>
      </c>
      <c r="G57" s="32">
        <v>100000</v>
      </c>
      <c r="H57" s="32">
        <v>0</v>
      </c>
    </row>
    <row r="58" spans="2:15" ht="15" customHeight="1" outlineLevel="3" x14ac:dyDescent="0.25">
      <c r="B58" s="26" t="s">
        <v>62</v>
      </c>
      <c r="C58" s="32">
        <v>0</v>
      </c>
      <c r="D58" s="32">
        <v>0</v>
      </c>
      <c r="E58" s="32">
        <v>0</v>
      </c>
      <c r="F58" s="32">
        <v>0</v>
      </c>
      <c r="G58" s="32">
        <v>0</v>
      </c>
      <c r="H58" s="32">
        <v>0</v>
      </c>
    </row>
    <row r="59" spans="2:15" ht="15" customHeight="1" outlineLevel="1" x14ac:dyDescent="0.25">
      <c r="B59" s="4" t="s">
        <v>61</v>
      </c>
      <c r="C59" s="32">
        <v>0</v>
      </c>
      <c r="D59" s="32">
        <v>0</v>
      </c>
      <c r="E59" s="32">
        <v>0</v>
      </c>
      <c r="F59" s="32">
        <v>0</v>
      </c>
      <c r="G59" s="32">
        <v>0</v>
      </c>
      <c r="H59" s="32">
        <v>0</v>
      </c>
    </row>
    <row r="60" spans="2:15" ht="15" customHeight="1" outlineLevel="1" x14ac:dyDescent="0.3">
      <c r="B60" s="6" t="s">
        <v>60</v>
      </c>
      <c r="C60" s="32">
        <v>0</v>
      </c>
      <c r="D60" s="32">
        <v>0</v>
      </c>
      <c r="E60" s="32">
        <v>0</v>
      </c>
      <c r="F60" s="32">
        <v>0</v>
      </c>
      <c r="G60" s="32">
        <v>0</v>
      </c>
      <c r="H60" s="32">
        <v>0</v>
      </c>
      <c r="O60"/>
    </row>
    <row r="61" spans="2:15" ht="15" customHeight="1" outlineLevel="1" x14ac:dyDescent="0.3">
      <c r="B61" s="25" t="s">
        <v>130</v>
      </c>
      <c r="C61" s="15">
        <f t="shared" ref="C61:H61" si="10">SUM(C62:C82)</f>
        <v>1108181.9799999997</v>
      </c>
      <c r="D61" s="15">
        <f t="shared" si="10"/>
        <v>844807.32677037059</v>
      </c>
      <c r="E61" s="15">
        <f t="shared" si="10"/>
        <v>679749.04892042209</v>
      </c>
      <c r="F61" s="15">
        <f t="shared" si="10"/>
        <v>390455.18</v>
      </c>
      <c r="G61" s="15">
        <f t="shared" si="10"/>
        <v>228676.93034618141</v>
      </c>
      <c r="H61" s="15">
        <f t="shared" si="10"/>
        <v>0</v>
      </c>
      <c r="O61"/>
    </row>
    <row r="62" spans="2:15" ht="15" customHeight="1" outlineLevel="2" x14ac:dyDescent="0.3">
      <c r="B62" s="6" t="s">
        <v>231</v>
      </c>
      <c r="C62" s="32">
        <v>399095.22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O62"/>
    </row>
    <row r="63" spans="2:15" ht="15" customHeight="1" outlineLevel="2" x14ac:dyDescent="0.3">
      <c r="B63" s="6" t="s">
        <v>204</v>
      </c>
      <c r="C63" s="32">
        <v>131234.03999999998</v>
      </c>
      <c r="D63" s="32">
        <v>164414.44252966385</v>
      </c>
      <c r="E63" s="32">
        <v>196159.53953515104</v>
      </c>
      <c r="F63" s="32">
        <v>0</v>
      </c>
      <c r="G63" s="32">
        <v>0</v>
      </c>
      <c r="H63" s="32">
        <v>0</v>
      </c>
      <c r="O63"/>
    </row>
    <row r="64" spans="2:15" ht="15" customHeight="1" outlineLevel="2" x14ac:dyDescent="0.3">
      <c r="B64" s="6" t="s">
        <v>131</v>
      </c>
      <c r="C64" s="32">
        <v>111573.99</v>
      </c>
      <c r="D64" s="32">
        <v>139783.67308688338</v>
      </c>
      <c r="E64" s="32">
        <v>166773.06358877427</v>
      </c>
      <c r="F64" s="32">
        <v>165276.4</v>
      </c>
      <c r="G64" s="32">
        <v>139306.491083517</v>
      </c>
      <c r="H64" s="32">
        <v>0</v>
      </c>
      <c r="O64"/>
    </row>
    <row r="65" spans="2:15" ht="15" customHeight="1" outlineLevel="2" x14ac:dyDescent="0.3">
      <c r="B65" s="6" t="s">
        <v>227</v>
      </c>
      <c r="C65" s="32">
        <v>78357.850000000006</v>
      </c>
      <c r="D65" s="32">
        <v>98169.365730173275</v>
      </c>
      <c r="E65" s="32">
        <v>0</v>
      </c>
      <c r="F65" s="32">
        <v>0</v>
      </c>
      <c r="G65" s="32">
        <v>0</v>
      </c>
      <c r="H65" s="32">
        <v>0</v>
      </c>
      <c r="O65"/>
    </row>
    <row r="66" spans="2:15" ht="15" customHeight="1" outlineLevel="2" x14ac:dyDescent="0.3">
      <c r="B66" s="6" t="s">
        <v>232</v>
      </c>
      <c r="C66" s="32">
        <v>74243.070000000007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O66"/>
    </row>
    <row r="67" spans="2:15" ht="15" customHeight="1" outlineLevel="2" x14ac:dyDescent="0.3">
      <c r="B67" s="6" t="s">
        <v>132</v>
      </c>
      <c r="C67" s="32">
        <v>65710.330000000016</v>
      </c>
      <c r="D67" s="32">
        <v>82324.120364228758</v>
      </c>
      <c r="E67" s="32">
        <v>98219.239545642282</v>
      </c>
      <c r="F67" s="32">
        <v>97337.8</v>
      </c>
      <c r="G67" s="32">
        <v>0</v>
      </c>
      <c r="H67" s="32">
        <v>0</v>
      </c>
      <c r="O67"/>
    </row>
    <row r="68" spans="2:15" ht="15" customHeight="1" outlineLevel="2" x14ac:dyDescent="0.3">
      <c r="B68" s="6" t="s">
        <v>133</v>
      </c>
      <c r="C68" s="32">
        <v>65319.700000000004</v>
      </c>
      <c r="D68" s="32">
        <v>81834.725642864636</v>
      </c>
      <c r="E68" s="32">
        <v>97635.351530117114</v>
      </c>
      <c r="F68" s="32">
        <v>96759.15</v>
      </c>
      <c r="G68" s="32">
        <v>81555.374717395403</v>
      </c>
      <c r="H68" s="32">
        <v>0</v>
      </c>
      <c r="O68"/>
    </row>
    <row r="69" spans="2:15" ht="15" customHeight="1" outlineLevel="2" x14ac:dyDescent="0.3">
      <c r="B69" s="6" t="s">
        <v>230</v>
      </c>
      <c r="C69" s="32">
        <v>60335.54</v>
      </c>
      <c r="D69" s="32">
        <v>75590.412612233427</v>
      </c>
      <c r="E69" s="32">
        <v>0</v>
      </c>
      <c r="F69" s="32">
        <v>0</v>
      </c>
      <c r="G69" s="32">
        <v>0</v>
      </c>
      <c r="H69" s="32">
        <v>0</v>
      </c>
      <c r="O69"/>
    </row>
    <row r="70" spans="2:15" ht="15" customHeight="1" outlineLevel="2" x14ac:dyDescent="0.3">
      <c r="B70" s="6" t="s">
        <v>206</v>
      </c>
      <c r="C70" s="32">
        <v>30484.17</v>
      </c>
      <c r="D70" s="32">
        <v>38191.604826476017</v>
      </c>
      <c r="E70" s="32">
        <v>45565.624686473056</v>
      </c>
      <c r="F70" s="32">
        <v>0</v>
      </c>
      <c r="G70" s="32">
        <v>0</v>
      </c>
      <c r="H70" s="32">
        <v>0</v>
      </c>
      <c r="O70"/>
    </row>
    <row r="71" spans="2:15" ht="15" customHeight="1" outlineLevel="2" x14ac:dyDescent="0.3">
      <c r="B71" s="6" t="s">
        <v>223</v>
      </c>
      <c r="C71" s="32">
        <v>20241.63</v>
      </c>
      <c r="D71" s="32">
        <v>25359.406302707303</v>
      </c>
      <c r="E71" s="32">
        <v>0</v>
      </c>
      <c r="F71" s="32">
        <v>0</v>
      </c>
      <c r="G71" s="32">
        <v>0</v>
      </c>
      <c r="H71" s="32">
        <v>0</v>
      </c>
      <c r="O71"/>
    </row>
    <row r="72" spans="2:15" ht="15" customHeight="1" outlineLevel="2" x14ac:dyDescent="0.3">
      <c r="B72" s="6" t="s">
        <v>211</v>
      </c>
      <c r="C72" s="32">
        <v>16360.68</v>
      </c>
      <c r="D72" s="32">
        <v>20497.217735389921</v>
      </c>
      <c r="E72" s="32">
        <v>24454.814361766854</v>
      </c>
      <c r="F72" s="32">
        <v>0</v>
      </c>
      <c r="G72" s="32">
        <v>0</v>
      </c>
      <c r="H72" s="32">
        <v>0</v>
      </c>
      <c r="O72"/>
    </row>
    <row r="73" spans="2:15" ht="15" customHeight="1" outlineLevel="2" x14ac:dyDescent="0.3">
      <c r="B73" s="6" t="s">
        <v>218</v>
      </c>
      <c r="C73" s="32">
        <v>13098.09</v>
      </c>
      <c r="D73" s="32">
        <v>16409.735641198247</v>
      </c>
      <c r="E73" s="32">
        <v>19578.12</v>
      </c>
      <c r="F73" s="32">
        <v>0</v>
      </c>
      <c r="G73" s="32">
        <v>0</v>
      </c>
      <c r="H73" s="32">
        <v>0</v>
      </c>
      <c r="O73"/>
    </row>
    <row r="74" spans="2:15" ht="15" customHeight="1" outlineLevel="2" x14ac:dyDescent="0.3">
      <c r="B74" s="6" t="s">
        <v>224</v>
      </c>
      <c r="C74" s="32">
        <v>8096.6599999999989</v>
      </c>
      <c r="D74" s="32">
        <v>10143.76852108292</v>
      </c>
      <c r="E74" s="32">
        <v>0</v>
      </c>
      <c r="F74" s="32">
        <v>0</v>
      </c>
      <c r="G74" s="32">
        <v>0</v>
      </c>
      <c r="H74" s="32">
        <v>0</v>
      </c>
      <c r="O74"/>
    </row>
    <row r="75" spans="2:15" ht="15" customHeight="1" outlineLevel="2" x14ac:dyDescent="0.3">
      <c r="B75" s="6" t="s">
        <v>134</v>
      </c>
      <c r="C75" s="32">
        <v>7680.64</v>
      </c>
      <c r="D75" s="32">
        <v>9622.559442712969</v>
      </c>
      <c r="E75" s="32">
        <v>11480.481085694026</v>
      </c>
      <c r="F75" s="32">
        <v>11377.45</v>
      </c>
      <c r="G75" s="32">
        <v>0</v>
      </c>
      <c r="H75" s="32">
        <v>0</v>
      </c>
      <c r="O75"/>
    </row>
    <row r="76" spans="2:15" ht="15" customHeight="1" outlineLevel="2" x14ac:dyDescent="0.3">
      <c r="B76" s="6" t="s">
        <v>135</v>
      </c>
      <c r="C76" s="32">
        <v>7042.66</v>
      </c>
      <c r="D76" s="32">
        <v>8823.2787073510444</v>
      </c>
      <c r="E76" s="32">
        <v>10526.881079486635</v>
      </c>
      <c r="F76" s="32">
        <v>10432.41</v>
      </c>
      <c r="G76" s="32">
        <v>0</v>
      </c>
      <c r="H76" s="32">
        <v>0</v>
      </c>
      <c r="O76"/>
    </row>
    <row r="77" spans="2:15" ht="15" customHeight="1" outlineLevel="2" x14ac:dyDescent="0.3">
      <c r="B77" s="6" t="s">
        <v>136</v>
      </c>
      <c r="C77" s="32">
        <v>6258.17</v>
      </c>
      <c r="D77" s="32">
        <v>7840.442999141871</v>
      </c>
      <c r="E77" s="32">
        <v>9354.2696401681424</v>
      </c>
      <c r="F77" s="32">
        <v>9270.32</v>
      </c>
      <c r="G77" s="32">
        <v>7813.6772467198798</v>
      </c>
      <c r="H77" s="32">
        <v>0</v>
      </c>
      <c r="O77"/>
    </row>
    <row r="78" spans="2:15" ht="15" customHeight="1" outlineLevel="2" x14ac:dyDescent="0.3">
      <c r="B78" s="6" t="s">
        <v>228</v>
      </c>
      <c r="C78" s="32">
        <v>3917.89</v>
      </c>
      <c r="D78" s="32">
        <v>4908.4632865086633</v>
      </c>
      <c r="E78" s="32">
        <v>0</v>
      </c>
      <c r="F78" s="32">
        <v>0</v>
      </c>
      <c r="G78" s="32">
        <v>0</v>
      </c>
      <c r="H78" s="32">
        <v>0</v>
      </c>
      <c r="O78"/>
    </row>
    <row r="79" spans="2:15" ht="15" customHeight="1" outlineLevel="2" x14ac:dyDescent="0.3">
      <c r="B79" s="6" t="s">
        <v>225</v>
      </c>
      <c r="C79" s="32">
        <v>3432.4800000000032</v>
      </c>
      <c r="D79" s="32">
        <v>53754.001090370955</v>
      </c>
      <c r="E79" s="32">
        <v>0</v>
      </c>
      <c r="F79" s="32">
        <v>0</v>
      </c>
      <c r="G79" s="32">
        <v>0</v>
      </c>
      <c r="H79" s="32">
        <v>0</v>
      </c>
      <c r="O79"/>
    </row>
    <row r="80" spans="2:15" ht="15" customHeight="1" outlineLevel="2" x14ac:dyDescent="0.3">
      <c r="B80" s="6" t="s">
        <v>219</v>
      </c>
      <c r="C80" s="32">
        <v>3347.32</v>
      </c>
      <c r="D80" s="32">
        <v>4193.6349878200708</v>
      </c>
      <c r="E80" s="32">
        <v>0</v>
      </c>
      <c r="F80" s="32">
        <v>0</v>
      </c>
      <c r="G80" s="32">
        <v>0</v>
      </c>
      <c r="H80" s="32">
        <v>0</v>
      </c>
      <c r="O80"/>
    </row>
    <row r="81" spans="2:16" ht="15" customHeight="1" outlineLevel="2" x14ac:dyDescent="0.3">
      <c r="B81" s="6" t="s">
        <v>229</v>
      </c>
      <c r="C81" s="32">
        <v>2350.7399999999998</v>
      </c>
      <c r="D81" s="32">
        <v>2945.0799719051984</v>
      </c>
      <c r="E81" s="32">
        <v>0</v>
      </c>
      <c r="F81" s="32">
        <v>0</v>
      </c>
      <c r="G81" s="32">
        <v>0</v>
      </c>
      <c r="H81" s="32">
        <v>0</v>
      </c>
      <c r="O81"/>
    </row>
    <row r="82" spans="2:16" ht="15" customHeight="1" outlineLevel="2" x14ac:dyDescent="0.3">
      <c r="B82" s="6" t="s">
        <v>137</v>
      </c>
      <c r="C82" s="32">
        <v>1.1100000000000003</v>
      </c>
      <c r="D82" s="32">
        <v>1.3932916582185191</v>
      </c>
      <c r="E82" s="32">
        <v>1.6638671487367678</v>
      </c>
      <c r="F82" s="32">
        <v>1.65</v>
      </c>
      <c r="G82" s="32">
        <v>1.38729854911401</v>
      </c>
      <c r="H82" s="32">
        <v>0</v>
      </c>
      <c r="O82"/>
    </row>
    <row r="83" spans="2:16" ht="15" customHeight="1" outlineLevel="2" x14ac:dyDescent="0.3">
      <c r="B83" s="25" t="s">
        <v>233</v>
      </c>
      <c r="C83" s="15">
        <f>SUM(C84:C86)</f>
        <v>0</v>
      </c>
      <c r="D83" s="15">
        <f t="shared" ref="D83:H83" si="11">SUM(D84:D86)</f>
        <v>278160.81463886146</v>
      </c>
      <c r="E83" s="15">
        <f t="shared" si="11"/>
        <v>0</v>
      </c>
      <c r="F83" s="15">
        <f t="shared" si="11"/>
        <v>0</v>
      </c>
      <c r="G83" s="15">
        <f t="shared" si="11"/>
        <v>1165.0797813039501</v>
      </c>
      <c r="H83" s="15">
        <f t="shared" si="11"/>
        <v>0</v>
      </c>
      <c r="O83"/>
    </row>
    <row r="84" spans="2:16" ht="15" customHeight="1" outlineLevel="2" x14ac:dyDescent="0.3">
      <c r="B84" s="6" t="s">
        <v>226</v>
      </c>
      <c r="C84" s="32">
        <v>0</v>
      </c>
      <c r="D84" s="32">
        <v>24566.761611788417</v>
      </c>
      <c r="E84" s="32">
        <v>0</v>
      </c>
      <c r="F84" s="32">
        <v>0</v>
      </c>
      <c r="G84" s="32">
        <v>0</v>
      </c>
      <c r="H84" s="32">
        <v>0</v>
      </c>
      <c r="O84"/>
    </row>
    <row r="85" spans="2:16" ht="15" customHeight="1" outlineLevel="2" x14ac:dyDescent="0.3">
      <c r="B85" s="6" t="s">
        <v>221</v>
      </c>
      <c r="C85" s="32">
        <v>0</v>
      </c>
      <c r="D85" s="32">
        <v>253594.05302707301</v>
      </c>
      <c r="E85" s="32">
        <v>0</v>
      </c>
      <c r="F85" s="32">
        <v>0</v>
      </c>
      <c r="G85" s="32">
        <v>0</v>
      </c>
      <c r="H85" s="32">
        <v>0</v>
      </c>
      <c r="O85"/>
    </row>
    <row r="86" spans="2:16" ht="15" customHeight="1" outlineLevel="2" x14ac:dyDescent="0.3">
      <c r="B86" s="6" t="s">
        <v>138</v>
      </c>
      <c r="C86" s="32">
        <v>0</v>
      </c>
      <c r="D86" s="32">
        <v>0</v>
      </c>
      <c r="E86" s="32">
        <v>0</v>
      </c>
      <c r="F86" s="32">
        <v>0</v>
      </c>
      <c r="G86" s="32">
        <v>1165.0797813039501</v>
      </c>
      <c r="H86" s="32">
        <v>0</v>
      </c>
      <c r="O86"/>
    </row>
    <row r="87" spans="2:16" ht="15" customHeight="1" outlineLevel="1" x14ac:dyDescent="0.25">
      <c r="B87" s="25" t="s">
        <v>59</v>
      </c>
      <c r="C87" s="15">
        <f t="shared" ref="C87:H87" si="12">SUM(C88:C88)</f>
        <v>0</v>
      </c>
      <c r="D87" s="15">
        <f t="shared" si="12"/>
        <v>0</v>
      </c>
      <c r="E87" s="15">
        <f t="shared" si="12"/>
        <v>0</v>
      </c>
      <c r="F87" s="15">
        <f t="shared" si="12"/>
        <v>0</v>
      </c>
      <c r="G87" s="15">
        <f t="shared" si="12"/>
        <v>0</v>
      </c>
      <c r="H87" s="15">
        <f t="shared" si="12"/>
        <v>0</v>
      </c>
    </row>
    <row r="88" spans="2:16" ht="15" customHeight="1" outlineLevel="2" x14ac:dyDescent="0.25">
      <c r="B88" s="24" t="s">
        <v>58</v>
      </c>
      <c r="C88" s="32">
        <v>0</v>
      </c>
      <c r="D88" s="32">
        <v>0</v>
      </c>
      <c r="E88" s="32">
        <v>0</v>
      </c>
      <c r="F88" s="32">
        <v>0</v>
      </c>
      <c r="G88" s="32">
        <v>0</v>
      </c>
      <c r="H88" s="32">
        <v>0</v>
      </c>
    </row>
    <row r="89" spans="2:16" ht="15" customHeight="1" x14ac:dyDescent="0.25">
      <c r="B89" s="4" t="s">
        <v>57</v>
      </c>
      <c r="C89" s="10">
        <f t="shared" ref="C89:H89" si="13">C52+C59+C60+C61+C83+C87</f>
        <v>1379639.8163273612</v>
      </c>
      <c r="D89" s="10">
        <f t="shared" si="13"/>
        <v>1282900.4114092321</v>
      </c>
      <c r="E89" s="10">
        <f t="shared" si="13"/>
        <v>832597.14892042207</v>
      </c>
      <c r="F89" s="10">
        <f t="shared" si="13"/>
        <v>554503.05383956491</v>
      </c>
      <c r="G89" s="10">
        <f t="shared" si="13"/>
        <v>384994.34012748534</v>
      </c>
      <c r="H89" s="10">
        <f t="shared" si="13"/>
        <v>0</v>
      </c>
    </row>
    <row r="90" spans="2:16" ht="15" customHeight="1" x14ac:dyDescent="0.25">
      <c r="B90" s="12" t="s">
        <v>56</v>
      </c>
      <c r="C90" s="9"/>
      <c r="D90" s="9"/>
      <c r="E90" s="9"/>
      <c r="F90" s="9"/>
      <c r="G90" s="9"/>
      <c r="H90" s="9"/>
    </row>
    <row r="91" spans="2:16" ht="15" customHeight="1" outlineLevel="1" x14ac:dyDescent="0.25">
      <c r="B91" s="25" t="s">
        <v>55</v>
      </c>
      <c r="C91" s="15">
        <f t="shared" ref="C91:H91" si="14">SUM(C92:C93)</f>
        <v>0</v>
      </c>
      <c r="D91" s="15">
        <f t="shared" si="14"/>
        <v>0</v>
      </c>
      <c r="E91" s="15">
        <f t="shared" si="14"/>
        <v>0</v>
      </c>
      <c r="F91" s="15">
        <f t="shared" si="14"/>
        <v>0</v>
      </c>
      <c r="G91" s="15">
        <f t="shared" si="14"/>
        <v>0</v>
      </c>
      <c r="H91" s="15">
        <f t="shared" si="14"/>
        <v>0</v>
      </c>
      <c r="L91" s="35"/>
    </row>
    <row r="92" spans="2:16" ht="15" customHeight="1" outlineLevel="2" x14ac:dyDescent="0.25">
      <c r="B92" s="24" t="s">
        <v>54</v>
      </c>
      <c r="C92" s="32">
        <v>0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</row>
    <row r="93" spans="2:16" ht="15" customHeight="1" outlineLevel="2" x14ac:dyDescent="0.25">
      <c r="B93" s="20" t="s">
        <v>53</v>
      </c>
      <c r="C93" s="32">
        <v>0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O93" s="35"/>
    </row>
    <row r="94" spans="2:16" ht="15" customHeight="1" outlineLevel="1" x14ac:dyDescent="0.25">
      <c r="B94" s="21" t="s">
        <v>52</v>
      </c>
      <c r="C94" s="11">
        <f t="shared" ref="C94:H94" si="15">SUM(C95:C97)</f>
        <v>1203930.1200000001</v>
      </c>
      <c r="D94" s="11">
        <f t="shared" si="15"/>
        <v>14659362.883513715</v>
      </c>
      <c r="E94" s="11">
        <f t="shared" si="15"/>
        <v>1606728.0773888552</v>
      </c>
      <c r="F94" s="11">
        <f t="shared" si="15"/>
        <v>1244580.2906165952</v>
      </c>
      <c r="G94" s="11">
        <f t="shared" si="15"/>
        <v>240271.37424751435</v>
      </c>
      <c r="H94" s="11">
        <f t="shared" si="15"/>
        <v>145530.25</v>
      </c>
    </row>
    <row r="95" spans="2:16" ht="15" customHeight="1" outlineLevel="2" x14ac:dyDescent="0.25">
      <c r="B95" s="20" t="s">
        <v>51</v>
      </c>
      <c r="C95" s="32">
        <v>78792.222222222219</v>
      </c>
      <c r="D95" s="32">
        <v>78792.222222222219</v>
      </c>
      <c r="E95" s="32">
        <v>78792.222222222219</v>
      </c>
      <c r="F95" s="32">
        <v>77778</v>
      </c>
      <c r="G95" s="32">
        <v>66666</v>
      </c>
      <c r="H95" s="32">
        <v>66666</v>
      </c>
      <c r="K95" s="35"/>
      <c r="L95" s="35"/>
      <c r="O95" s="35"/>
      <c r="P95" s="35"/>
    </row>
    <row r="96" spans="2:16" ht="15" customHeight="1" outlineLevel="2" x14ac:dyDescent="0.25">
      <c r="B96" s="24" t="s">
        <v>50</v>
      </c>
      <c r="C96" s="32">
        <v>1301510.0472883414</v>
      </c>
      <c r="D96" s="32">
        <v>14501510.047288341</v>
      </c>
      <c r="E96" s="32">
        <v>1301510.047288341</v>
      </c>
      <c r="F96" s="32">
        <v>982172.82506611897</v>
      </c>
      <c r="G96" s="32">
        <v>91550.825066118909</v>
      </c>
      <c r="H96" s="32">
        <v>78864.25</v>
      </c>
      <c r="M96" s="35"/>
    </row>
    <row r="97" spans="2:12" ht="15" customHeight="1" outlineLevel="2" x14ac:dyDescent="0.25">
      <c r="B97" s="20" t="s">
        <v>49</v>
      </c>
      <c r="C97" s="32">
        <v>-176372.14951056358</v>
      </c>
      <c r="D97" s="32">
        <v>79060.614003152121</v>
      </c>
      <c r="E97" s="32">
        <v>226425.80787829196</v>
      </c>
      <c r="F97" s="32">
        <v>184629.46555047622</v>
      </c>
      <c r="G97" s="32">
        <v>82054.549181395443</v>
      </c>
      <c r="H97" s="32">
        <v>0</v>
      </c>
      <c r="K97" s="35"/>
    </row>
    <row r="98" spans="2:12" ht="15" customHeight="1" outlineLevel="1" x14ac:dyDescent="0.25">
      <c r="B98" s="4" t="s">
        <v>48</v>
      </c>
      <c r="C98" s="10">
        <f t="shared" ref="C98:H98" si="16">C91+C94</f>
        <v>1203930.1200000001</v>
      </c>
      <c r="D98" s="10">
        <f t="shared" si="16"/>
        <v>14659362.883513715</v>
      </c>
      <c r="E98" s="10">
        <f t="shared" si="16"/>
        <v>1606728.0773888552</v>
      </c>
      <c r="F98" s="10">
        <f t="shared" si="16"/>
        <v>1244580.2906165952</v>
      </c>
      <c r="G98" s="10">
        <f t="shared" si="16"/>
        <v>240271.37424751435</v>
      </c>
      <c r="H98" s="10">
        <f t="shared" si="16"/>
        <v>145530.25</v>
      </c>
      <c r="K98" s="35"/>
    </row>
    <row r="99" spans="2:12" ht="15" customHeight="1" outlineLevel="1" x14ac:dyDescent="0.25">
      <c r="B99" s="6" t="s">
        <v>47</v>
      </c>
      <c r="C99" s="32">
        <v>0</v>
      </c>
      <c r="D99" s="32">
        <v>0</v>
      </c>
      <c r="E99" s="32">
        <v>0</v>
      </c>
      <c r="F99" s="32">
        <v>0</v>
      </c>
      <c r="G99" s="32">
        <v>0</v>
      </c>
      <c r="H99" s="32">
        <v>0</v>
      </c>
      <c r="K99" s="35"/>
    </row>
    <row r="100" spans="2:12" ht="15" customHeight="1" x14ac:dyDescent="0.25">
      <c r="B100" s="4" t="s">
        <v>46</v>
      </c>
      <c r="C100" s="10">
        <f t="shared" ref="C100:H100" si="17">SUM(C98:C99)</f>
        <v>1203930.1200000001</v>
      </c>
      <c r="D100" s="10">
        <f t="shared" si="17"/>
        <v>14659362.883513715</v>
      </c>
      <c r="E100" s="10">
        <f t="shared" si="17"/>
        <v>1606728.0773888552</v>
      </c>
      <c r="F100" s="10">
        <f t="shared" si="17"/>
        <v>1244580.2906165952</v>
      </c>
      <c r="G100" s="10">
        <f t="shared" si="17"/>
        <v>240271.37424751435</v>
      </c>
      <c r="H100" s="10">
        <f t="shared" si="17"/>
        <v>145530.25</v>
      </c>
    </row>
    <row r="101" spans="2:12" ht="15" customHeight="1" x14ac:dyDescent="0.25">
      <c r="B101" s="16" t="s">
        <v>45</v>
      </c>
      <c r="C101" s="14">
        <f t="shared" ref="C101:H101" si="18">C89+C100</f>
        <v>2583569.9363273615</v>
      </c>
      <c r="D101" s="14">
        <f t="shared" si="18"/>
        <v>15942263.294922948</v>
      </c>
      <c r="E101" s="14">
        <f t="shared" si="18"/>
        <v>2439325.2263092771</v>
      </c>
      <c r="F101" s="14">
        <f t="shared" si="18"/>
        <v>1799083.34445616</v>
      </c>
      <c r="G101" s="14">
        <f t="shared" si="18"/>
        <v>625265.71437499975</v>
      </c>
      <c r="H101" s="14">
        <f t="shared" si="18"/>
        <v>145530.25</v>
      </c>
    </row>
    <row r="102" spans="2:12" ht="15" customHeight="1" x14ac:dyDescent="0.25">
      <c r="B102" s="17" t="s">
        <v>153</v>
      </c>
      <c r="C102" s="14"/>
      <c r="D102" s="14"/>
      <c r="E102" s="14"/>
      <c r="F102" s="14"/>
      <c r="G102" s="14"/>
      <c r="H102" s="14"/>
      <c r="K102" s="35"/>
    </row>
    <row r="103" spans="2:12" ht="15" customHeight="1" outlineLevel="1" x14ac:dyDescent="0.25">
      <c r="B103" s="16" t="s">
        <v>184</v>
      </c>
      <c r="C103" s="14">
        <f t="shared" ref="C103:H103" si="19">C49-C89</f>
        <v>1203930.1200000003</v>
      </c>
      <c r="D103" s="14">
        <f t="shared" si="19"/>
        <v>14659362.883513715</v>
      </c>
      <c r="E103" s="14">
        <f t="shared" si="19"/>
        <v>1606728.0773888552</v>
      </c>
      <c r="F103" s="14">
        <f t="shared" si="19"/>
        <v>1244580.2906165952</v>
      </c>
      <c r="G103" s="14">
        <f t="shared" si="19"/>
        <v>240271.37424751464</v>
      </c>
      <c r="H103" s="14">
        <f t="shared" si="19"/>
        <v>145530.25</v>
      </c>
    </row>
    <row r="104" spans="2:12" ht="15" customHeight="1" outlineLevel="1" x14ac:dyDescent="0.25">
      <c r="B104" s="16" t="s">
        <v>183</v>
      </c>
      <c r="C104" s="14">
        <f t="shared" ref="C104:H104" si="20">C49-C89+C61</f>
        <v>2312112.1</v>
      </c>
      <c r="D104" s="14">
        <f t="shared" si="20"/>
        <v>15504170.210284086</v>
      </c>
      <c r="E104" s="14">
        <f t="shared" si="20"/>
        <v>2286477.1263092775</v>
      </c>
      <c r="F104" s="14">
        <f t="shared" si="20"/>
        <v>1635035.4706165951</v>
      </c>
      <c r="G104" s="14">
        <f t="shared" si="20"/>
        <v>468948.30459369603</v>
      </c>
      <c r="H104" s="14">
        <f t="shared" si="20"/>
        <v>145530.25</v>
      </c>
    </row>
    <row r="105" spans="2:12" ht="15" customHeight="1" x14ac:dyDescent="0.25">
      <c r="B105" s="17" t="s">
        <v>10</v>
      </c>
      <c r="C105" s="17"/>
      <c r="D105" s="17"/>
      <c r="E105" s="17"/>
      <c r="F105" s="17"/>
      <c r="G105" s="17"/>
      <c r="H105" s="17"/>
      <c r="L105" s="35"/>
    </row>
    <row r="106" spans="2:12" ht="15" customHeight="1" outlineLevel="1" x14ac:dyDescent="0.25">
      <c r="B106" s="16" t="s">
        <v>44</v>
      </c>
      <c r="C106" s="14">
        <f>C98/'Income Statement'!C44</f>
        <v>15.279378241556795</v>
      </c>
      <c r="D106" s="14">
        <f>D98/'Income Statement'!D44</f>
        <v>186.04564048737706</v>
      </c>
      <c r="E106" s="14">
        <f>E98/'Income Statement'!E44</f>
        <v>20.391387853768169</v>
      </c>
      <c r="F106" s="14">
        <f>F98/'Income Statement'!F44</f>
        <v>16.001700874496581</v>
      </c>
      <c r="G106" s="14">
        <f>G98/'Income Statement'!G44</f>
        <v>3.6041066547792631</v>
      </c>
      <c r="H106" s="14">
        <f>H98/'Income Statement'!H44</f>
        <v>2.1829755797557975</v>
      </c>
    </row>
    <row r="107" spans="2:12" ht="15" customHeight="1" outlineLevel="1" x14ac:dyDescent="0.25">
      <c r="B107" s="13" t="s">
        <v>43</v>
      </c>
      <c r="C107" s="10">
        <f>(C94-C48)/'Income Statement'!C44</f>
        <v>15.279378241556795</v>
      </c>
      <c r="D107" s="10">
        <f>(D94-D48)/'Income Statement'!D44</f>
        <v>186.04564048737706</v>
      </c>
      <c r="E107" s="10">
        <f>(E94-E48)/'Income Statement'!E44</f>
        <v>20.391387853768169</v>
      </c>
      <c r="F107" s="10">
        <f>(F94-F48)/'Income Statement'!F44</f>
        <v>16.001700874496581</v>
      </c>
      <c r="G107" s="10">
        <f>(G94-G48)/'Income Statement'!G44</f>
        <v>3.6041066547792631</v>
      </c>
      <c r="H107" s="10">
        <f>(H94-H48)/'Income Statement'!H44</f>
        <v>2.1829755797557975</v>
      </c>
    </row>
    <row r="108" spans="2:12" ht="15" customHeight="1" x14ac:dyDescent="0.25">
      <c r="B108" s="2" t="s">
        <v>120</v>
      </c>
    </row>
    <row r="110" spans="2:12" ht="15" customHeight="1" x14ac:dyDescent="0.3">
      <c r="C110" t="str">
        <f t="shared" ref="C110:H110" si="21">IF(C101=C49,"OK",C49-C101)</f>
        <v>OK</v>
      </c>
      <c r="D110" t="str">
        <f t="shared" si="21"/>
        <v>OK</v>
      </c>
      <c r="E110" t="str">
        <f t="shared" si="21"/>
        <v>OK</v>
      </c>
      <c r="F110" t="str">
        <f t="shared" si="21"/>
        <v>OK</v>
      </c>
      <c r="G110" t="str">
        <f t="shared" si="21"/>
        <v>OK</v>
      </c>
      <c r="H110" t="str">
        <f t="shared" si="21"/>
        <v>OK</v>
      </c>
    </row>
  </sheetData>
  <mergeCells count="1">
    <mergeCell ref="B1:C1"/>
  </mergeCells>
  <conditionalFormatting sqref="C14:H24">
    <cfRule type="cellIs" dxfId="4" priority="2" operator="lessThan">
      <formula>0</formula>
    </cfRule>
  </conditionalFormatting>
  <conditionalFormatting sqref="C54:H55">
    <cfRule type="cellIs" dxfId="3" priority="1" operator="lessThan">
      <formula>0</formula>
    </cfRule>
  </conditionalFormatting>
  <pageMargins left="0.75" right="0.75" top="1" bottom="1" header="0.5" footer="0.5"/>
  <pageSetup orientation="portrait" horizontalDpi="300" verticalDpi="300" r:id="rId1"/>
  <ignoredErrors>
    <ignoredError sqref="C56 C9:D9 C39 F9:H9 D39:H39 D56:H56 F13:H13 C13:D13 E9:E1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4EB5-4759-451E-90EF-AEE4632FD463}">
  <sheetPr>
    <outlinePr summaryBelow="0" summaryRight="0"/>
  </sheetPr>
  <dimension ref="B1:P62"/>
  <sheetViews>
    <sheetView topLeftCell="A32" workbookViewId="0">
      <selection activeCell="K54" sqref="K54"/>
    </sheetView>
  </sheetViews>
  <sheetFormatPr defaultColWidth="9.109375" defaultRowHeight="15" customHeight="1" outlineLevelRow="3" x14ac:dyDescent="0.25"/>
  <cols>
    <col min="1" max="1" width="9.109375" style="1"/>
    <col min="2" max="2" width="51.33203125" style="1" customWidth="1"/>
    <col min="3" max="3" width="10.77734375" style="1" bestFit="1" customWidth="1"/>
    <col min="4" max="5" width="9.77734375" style="1" bestFit="1" customWidth="1"/>
    <col min="6" max="8" width="9.109375" style="1" bestFit="1" customWidth="1"/>
    <col min="9" max="10" width="9.109375" style="1"/>
    <col min="11" max="11" width="12.33203125" style="1" bestFit="1" customWidth="1"/>
    <col min="12" max="12" width="17.33203125" style="1" bestFit="1" customWidth="1"/>
    <col min="13" max="13" width="11.6640625" style="1" bestFit="1" customWidth="1"/>
    <col min="14" max="16384" width="9.109375" style="1"/>
  </cols>
  <sheetData>
    <row r="1" spans="2:8" ht="15" customHeight="1" x14ac:dyDescent="0.3">
      <c r="B1" s="101" t="s">
        <v>117</v>
      </c>
      <c r="C1" s="102"/>
      <c r="D1" s="42"/>
      <c r="E1" s="42"/>
      <c r="F1" s="42"/>
      <c r="G1" s="42"/>
      <c r="H1" s="42"/>
    </row>
    <row r="2" spans="2:8" ht="15" customHeight="1" x14ac:dyDescent="0.3">
      <c r="B2" s="43">
        <f>Shareholders!B2</f>
        <v>445</v>
      </c>
    </row>
    <row r="3" spans="2:8" ht="15" customHeight="1" x14ac:dyDescent="0.25">
      <c r="B3" s="23"/>
      <c r="C3" s="23"/>
      <c r="D3" s="23"/>
      <c r="E3" s="23"/>
      <c r="F3" s="23"/>
      <c r="G3" s="23"/>
      <c r="H3" s="23"/>
    </row>
    <row r="5" spans="2:8" ht="15" customHeight="1" x14ac:dyDescent="0.25">
      <c r="B5" s="22" t="s">
        <v>118</v>
      </c>
      <c r="C5" s="22"/>
      <c r="D5" s="22"/>
      <c r="E5" s="22"/>
      <c r="F5" s="22"/>
      <c r="G5" s="22"/>
      <c r="H5" s="22"/>
    </row>
    <row r="6" spans="2:8" ht="15" customHeight="1" x14ac:dyDescent="0.25">
      <c r="B6" s="22" t="s">
        <v>119</v>
      </c>
      <c r="C6" s="22"/>
      <c r="D6" s="22"/>
      <c r="E6" s="22"/>
      <c r="F6" s="22"/>
      <c r="G6" s="22"/>
      <c r="H6" s="22"/>
    </row>
    <row r="7" spans="2:8" ht="15" customHeight="1" x14ac:dyDescent="0.25">
      <c r="B7" s="22"/>
      <c r="C7" s="29">
        <v>45961</v>
      </c>
      <c r="D7" s="29">
        <v>45930</v>
      </c>
      <c r="E7" s="29">
        <v>45900</v>
      </c>
      <c r="F7" s="29">
        <v>45869</v>
      </c>
      <c r="G7" s="29">
        <v>45838</v>
      </c>
      <c r="H7" s="29">
        <v>45808</v>
      </c>
    </row>
    <row r="8" spans="2:8" ht="15" customHeight="1" x14ac:dyDescent="0.25">
      <c r="B8" s="9" t="s">
        <v>116</v>
      </c>
      <c r="C8" s="9"/>
      <c r="D8" s="9"/>
      <c r="E8" s="9"/>
      <c r="F8" s="9"/>
      <c r="G8" s="9"/>
      <c r="H8" s="9"/>
    </row>
    <row r="9" spans="2:8" ht="15" customHeight="1" outlineLevel="1" x14ac:dyDescent="0.25">
      <c r="B9" s="13" t="s">
        <v>124</v>
      </c>
      <c r="C9" s="3">
        <f>'Income Statement'!C36</f>
        <v>-144952.40359863825</v>
      </c>
      <c r="D9" s="3">
        <f>'Income Statement'!D36</f>
        <v>2708563.3386136699</v>
      </c>
      <c r="E9" s="3">
        <f>'Income Statement'!E36</f>
        <v>193784.53740867303</v>
      </c>
      <c r="F9" s="3">
        <f>'Income Statement'!F36</f>
        <v>488668.58392072463</v>
      </c>
      <c r="G9" s="3">
        <f>'Income Statement'!G36</f>
        <v>241179.30363102065</v>
      </c>
      <c r="H9" s="3">
        <f>'Income Statement'!H36</f>
        <v>0</v>
      </c>
    </row>
    <row r="10" spans="2:8" ht="15" customHeight="1" outlineLevel="2" x14ac:dyDescent="0.25">
      <c r="B10" s="33" t="s">
        <v>123</v>
      </c>
      <c r="C10" s="57">
        <f>'Income Statement'!C17</f>
        <v>576396.25</v>
      </c>
      <c r="D10" s="57">
        <f>'Income Statement'!D17</f>
        <v>411480.625</v>
      </c>
      <c r="E10" s="57">
        <f>'Income Statement'!E17</f>
        <v>5480.625</v>
      </c>
      <c r="F10" s="57">
        <f>'Income Statement'!F17</f>
        <v>10565</v>
      </c>
      <c r="G10" s="57">
        <f>'Income Statement'!G17</f>
        <v>0</v>
      </c>
      <c r="H10" s="57">
        <f>'Income Statement'!H17</f>
        <v>0</v>
      </c>
    </row>
    <row r="11" spans="2:8" ht="15" customHeight="1" outlineLevel="2" x14ac:dyDescent="0.25">
      <c r="B11" s="33" t="s">
        <v>89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  <c r="H11" s="58">
        <v>0</v>
      </c>
    </row>
    <row r="12" spans="2:8" ht="15" customHeight="1" outlineLevel="1" x14ac:dyDescent="0.25">
      <c r="B12" s="13" t="s">
        <v>115</v>
      </c>
      <c r="C12" s="34">
        <f t="shared" ref="C12:H12" si="0">C9+C10-C11</f>
        <v>431443.84640136175</v>
      </c>
      <c r="D12" s="34">
        <f t="shared" si="0"/>
        <v>3120043.9636136699</v>
      </c>
      <c r="E12" s="34">
        <f t="shared" si="0"/>
        <v>199265.16240867303</v>
      </c>
      <c r="F12" s="34">
        <f t="shared" si="0"/>
        <v>499233.58392072463</v>
      </c>
      <c r="G12" s="34">
        <f t="shared" si="0"/>
        <v>241179.30363102065</v>
      </c>
      <c r="H12" s="34">
        <f t="shared" si="0"/>
        <v>0</v>
      </c>
    </row>
    <row r="13" spans="2:8" ht="15" customHeight="1" outlineLevel="1" x14ac:dyDescent="0.25">
      <c r="B13" s="12" t="s">
        <v>114</v>
      </c>
      <c r="C13" s="18">
        <f t="shared" ref="C13:H13" si="1">SUM(C14:C17)</f>
        <v>-663474.43367263861</v>
      </c>
      <c r="D13" s="18">
        <f t="shared" si="1"/>
        <v>-31715.82999999998</v>
      </c>
      <c r="E13" s="18">
        <f t="shared" si="1"/>
        <v>-36199.773839564921</v>
      </c>
      <c r="F13" s="18">
        <f t="shared" si="1"/>
        <v>201854.52821456493</v>
      </c>
      <c r="G13" s="18">
        <f t="shared" si="1"/>
        <v>-119036.40437500001</v>
      </c>
      <c r="H13" s="18">
        <f t="shared" si="1"/>
        <v>0</v>
      </c>
    </row>
    <row r="14" spans="2:8" ht="15" customHeight="1" outlineLevel="2" x14ac:dyDescent="0.25">
      <c r="B14" s="4" t="s">
        <v>113</v>
      </c>
      <c r="C14" s="31">
        <v>-800000</v>
      </c>
      <c r="D14" s="31">
        <v>-38800</v>
      </c>
      <c r="E14" s="31">
        <v>0</v>
      </c>
      <c r="F14" s="31">
        <v>187200</v>
      </c>
      <c r="G14" s="31">
        <v>-187200</v>
      </c>
      <c r="H14" s="31">
        <v>0</v>
      </c>
    </row>
    <row r="15" spans="2:8" ht="15" customHeight="1" outlineLevel="2" x14ac:dyDescent="0.25">
      <c r="B15" s="6" t="s">
        <v>112</v>
      </c>
      <c r="C15" s="31">
        <v>136525.56632736139</v>
      </c>
      <c r="D15" s="31">
        <v>7084.1700000000201</v>
      </c>
      <c r="E15" s="31">
        <v>-36199.773839564921</v>
      </c>
      <c r="F15" s="31">
        <v>8895.5438395649253</v>
      </c>
      <c r="G15" s="31">
        <v>55152.329999999994</v>
      </c>
      <c r="H15" s="31">
        <v>0</v>
      </c>
    </row>
    <row r="16" spans="2:8" ht="15" customHeight="1" outlineLevel="2" x14ac:dyDescent="0.25">
      <c r="B16" s="4" t="s">
        <v>111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</row>
    <row r="17" spans="2:12" ht="15" customHeight="1" outlineLevel="2" x14ac:dyDescent="0.25">
      <c r="B17" s="6" t="s">
        <v>110</v>
      </c>
      <c r="C17" s="31">
        <v>0</v>
      </c>
      <c r="D17" s="31">
        <v>0</v>
      </c>
      <c r="E17" s="31">
        <v>0</v>
      </c>
      <c r="F17" s="31">
        <v>5758.984375</v>
      </c>
      <c r="G17" s="31">
        <v>13011.265625</v>
      </c>
      <c r="H17" s="31">
        <v>0</v>
      </c>
    </row>
    <row r="18" spans="2:12" ht="15" customHeight="1" x14ac:dyDescent="0.25">
      <c r="B18" s="13" t="s">
        <v>109</v>
      </c>
      <c r="C18" s="3">
        <f t="shared" ref="C18:H18" si="2">C12+C13</f>
        <v>-232030.58727127686</v>
      </c>
      <c r="D18" s="3">
        <f t="shared" si="2"/>
        <v>3088328.1336136698</v>
      </c>
      <c r="E18" s="3">
        <f t="shared" si="2"/>
        <v>163065.38856910809</v>
      </c>
      <c r="F18" s="3">
        <f t="shared" si="2"/>
        <v>701088.11213528959</v>
      </c>
      <c r="G18" s="3">
        <f t="shared" si="2"/>
        <v>122142.89925602064</v>
      </c>
      <c r="H18" s="3">
        <f t="shared" si="2"/>
        <v>0</v>
      </c>
    </row>
    <row r="19" spans="2:12" ht="15" customHeight="1" x14ac:dyDescent="0.25">
      <c r="B19" s="9" t="s">
        <v>108</v>
      </c>
      <c r="C19" s="9"/>
      <c r="D19" s="9"/>
      <c r="E19" s="9"/>
      <c r="F19" s="9"/>
      <c r="G19" s="9"/>
      <c r="H19" s="9"/>
    </row>
    <row r="20" spans="2:12" ht="15" customHeight="1" outlineLevel="1" x14ac:dyDescent="0.25">
      <c r="B20" s="8" t="s">
        <v>107</v>
      </c>
      <c r="C20" s="7">
        <f t="shared" ref="C20:H20" si="3">SUM(C21:C22)</f>
        <v>0</v>
      </c>
      <c r="D20" s="7">
        <f t="shared" si="3"/>
        <v>0</v>
      </c>
      <c r="E20" s="7">
        <f t="shared" si="3"/>
        <v>0</v>
      </c>
      <c r="F20" s="7">
        <f t="shared" si="3"/>
        <v>0</v>
      </c>
      <c r="G20" s="7">
        <f t="shared" si="3"/>
        <v>-21922.5</v>
      </c>
      <c r="H20" s="7">
        <f t="shared" si="3"/>
        <v>0</v>
      </c>
    </row>
    <row r="21" spans="2:12" ht="15" customHeight="1" outlineLevel="2" x14ac:dyDescent="0.25">
      <c r="B21" s="6" t="s">
        <v>106</v>
      </c>
      <c r="C21" s="31">
        <v>0</v>
      </c>
      <c r="D21" s="31">
        <v>0</v>
      </c>
      <c r="E21" s="31">
        <v>0</v>
      </c>
      <c r="F21" s="31">
        <v>0</v>
      </c>
      <c r="G21" s="31">
        <v>-20337.5</v>
      </c>
      <c r="H21" s="31">
        <v>0</v>
      </c>
    </row>
    <row r="22" spans="2:12" ht="15" customHeight="1" outlineLevel="2" x14ac:dyDescent="0.25">
      <c r="B22" s="6" t="s">
        <v>125</v>
      </c>
      <c r="C22" s="31">
        <v>0</v>
      </c>
      <c r="D22" s="31">
        <v>0</v>
      </c>
      <c r="E22" s="31">
        <v>0</v>
      </c>
      <c r="F22" s="31">
        <v>0</v>
      </c>
      <c r="G22" s="31">
        <v>-1585</v>
      </c>
      <c r="H22" s="31">
        <v>0</v>
      </c>
      <c r="L22" s="56"/>
    </row>
    <row r="23" spans="2:12" ht="15" customHeight="1" outlineLevel="1" x14ac:dyDescent="0.25">
      <c r="B23" s="13" t="s">
        <v>105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</row>
    <row r="24" spans="2:12" ht="15" customHeight="1" outlineLevel="1" x14ac:dyDescent="0.25">
      <c r="B24" s="12" t="s">
        <v>104</v>
      </c>
      <c r="C24" s="18">
        <f t="shared" ref="C24:H24" si="4">C26-C25</f>
        <v>0</v>
      </c>
      <c r="D24" s="18">
        <f t="shared" si="4"/>
        <v>-980000</v>
      </c>
      <c r="E24" s="18">
        <f t="shared" si="4"/>
        <v>-1144000</v>
      </c>
      <c r="F24" s="18">
        <f t="shared" si="4"/>
        <v>-460000</v>
      </c>
      <c r="G24" s="18">
        <f t="shared" si="4"/>
        <v>-20000</v>
      </c>
      <c r="H24" s="18">
        <f t="shared" si="4"/>
        <v>0</v>
      </c>
    </row>
    <row r="25" spans="2:12" ht="15" customHeight="1" outlineLevel="2" x14ac:dyDescent="0.25">
      <c r="B25" s="4" t="s">
        <v>103</v>
      </c>
      <c r="C25" s="31">
        <v>0</v>
      </c>
      <c r="D25" s="31">
        <v>1300000</v>
      </c>
      <c r="E25" s="31">
        <v>1148400</v>
      </c>
      <c r="F25" s="31">
        <v>460000</v>
      </c>
      <c r="G25" s="31">
        <v>20000</v>
      </c>
      <c r="H25" s="31">
        <v>0</v>
      </c>
    </row>
    <row r="26" spans="2:12" ht="15" customHeight="1" outlineLevel="2" x14ac:dyDescent="0.25">
      <c r="B26" s="6" t="s">
        <v>102</v>
      </c>
      <c r="C26" s="31">
        <v>0</v>
      </c>
      <c r="D26" s="31">
        <v>320000</v>
      </c>
      <c r="E26" s="31">
        <v>4400</v>
      </c>
      <c r="F26" s="31">
        <v>0</v>
      </c>
      <c r="G26" s="31">
        <v>0</v>
      </c>
      <c r="H26" s="31">
        <v>0</v>
      </c>
      <c r="K26" s="35"/>
    </row>
    <row r="27" spans="2:12" ht="15" customHeight="1" outlineLevel="1" x14ac:dyDescent="0.25">
      <c r="B27" s="8" t="s">
        <v>89</v>
      </c>
      <c r="C27" s="7">
        <f t="shared" ref="C27:H27" si="5">SUM(C28:C29)</f>
        <v>0</v>
      </c>
      <c r="D27" s="7">
        <f t="shared" si="5"/>
        <v>0</v>
      </c>
      <c r="E27" s="7">
        <f t="shared" si="5"/>
        <v>0</v>
      </c>
      <c r="F27" s="7">
        <f t="shared" si="5"/>
        <v>0</v>
      </c>
      <c r="G27" s="7">
        <f t="shared" si="5"/>
        <v>0</v>
      </c>
      <c r="H27" s="7">
        <f t="shared" si="5"/>
        <v>0</v>
      </c>
      <c r="K27" s="35"/>
    </row>
    <row r="28" spans="2:12" ht="15" customHeight="1" outlineLevel="2" x14ac:dyDescent="0.25">
      <c r="B28" s="6" t="s">
        <v>88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K28" s="56"/>
    </row>
    <row r="29" spans="2:12" ht="15" customHeight="1" outlineLevel="2" x14ac:dyDescent="0.25">
      <c r="B29" s="4" t="s">
        <v>87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K29" s="35"/>
    </row>
    <row r="30" spans="2:12" ht="15" customHeight="1" x14ac:dyDescent="0.25">
      <c r="B30" s="16" t="s">
        <v>101</v>
      </c>
      <c r="C30" s="5">
        <f t="shared" ref="C30:H30" si="6">C20+C23+C24+C27</f>
        <v>0</v>
      </c>
      <c r="D30" s="5">
        <f t="shared" si="6"/>
        <v>-980000</v>
      </c>
      <c r="E30" s="5">
        <f t="shared" si="6"/>
        <v>-1144000</v>
      </c>
      <c r="F30" s="5">
        <f t="shared" si="6"/>
        <v>-460000</v>
      </c>
      <c r="G30" s="5">
        <f t="shared" si="6"/>
        <v>-41922.5</v>
      </c>
      <c r="H30" s="5">
        <f t="shared" si="6"/>
        <v>0</v>
      </c>
      <c r="K30" s="35"/>
    </row>
    <row r="31" spans="2:12" ht="15" customHeight="1" x14ac:dyDescent="0.25">
      <c r="B31" s="17" t="s">
        <v>100</v>
      </c>
      <c r="C31" s="17"/>
      <c r="D31" s="17"/>
      <c r="E31" s="17"/>
      <c r="F31" s="17"/>
      <c r="G31" s="17"/>
      <c r="H31" s="17"/>
    </row>
    <row r="32" spans="2:12" ht="15" customHeight="1" outlineLevel="1" x14ac:dyDescent="0.25">
      <c r="B32" s="12" t="s">
        <v>99</v>
      </c>
      <c r="C32" s="18">
        <f t="shared" ref="C32:H32" si="7">SUM(C33:C34)</f>
        <v>0</v>
      </c>
      <c r="D32" s="18">
        <f t="shared" si="7"/>
        <v>-26348</v>
      </c>
      <c r="E32" s="18">
        <f t="shared" si="7"/>
        <v>-61547</v>
      </c>
      <c r="F32" s="18">
        <f t="shared" si="7"/>
        <v>-52652.33</v>
      </c>
      <c r="G32" s="18">
        <f t="shared" si="7"/>
        <v>0</v>
      </c>
      <c r="H32" s="18">
        <f t="shared" si="7"/>
        <v>0</v>
      </c>
      <c r="K32" s="35"/>
    </row>
    <row r="33" spans="2:16" ht="15" customHeight="1" outlineLevel="2" x14ac:dyDescent="0.25">
      <c r="B33" s="4" t="s">
        <v>98</v>
      </c>
      <c r="C33" s="31">
        <v>0</v>
      </c>
      <c r="D33" s="31">
        <v>-26348</v>
      </c>
      <c r="E33" s="31">
        <v>-61547</v>
      </c>
      <c r="F33" s="31">
        <v>-52652.33</v>
      </c>
      <c r="G33" s="31">
        <v>0</v>
      </c>
      <c r="H33" s="31">
        <v>0</v>
      </c>
      <c r="L33" s="68"/>
    </row>
    <row r="34" spans="2:16" ht="15" customHeight="1" outlineLevel="2" x14ac:dyDescent="0.25">
      <c r="B34" s="6" t="s">
        <v>12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L34" s="56"/>
    </row>
    <row r="35" spans="2:16" ht="15" customHeight="1" outlineLevel="1" x14ac:dyDescent="0.25">
      <c r="B35" s="8" t="s">
        <v>97</v>
      </c>
      <c r="C35" s="7">
        <f t="shared" ref="C35:G35" si="8">SUM(C36:C37)</f>
        <v>0</v>
      </c>
      <c r="D35" s="7">
        <f t="shared" ref="D35" si="9">SUM(D36:D37)</f>
        <v>0</v>
      </c>
      <c r="E35" s="7">
        <f t="shared" ref="E35" si="10">SUM(E36:E37)</f>
        <v>320250</v>
      </c>
      <c r="F35" s="7">
        <f t="shared" si="8"/>
        <v>900622</v>
      </c>
      <c r="G35" s="7">
        <f t="shared" si="8"/>
        <v>0</v>
      </c>
      <c r="H35" s="7">
        <f>SUM(H36:H37)</f>
        <v>126760</v>
      </c>
    </row>
    <row r="36" spans="2:16" ht="15" customHeight="1" outlineLevel="2" x14ac:dyDescent="0.25">
      <c r="B36" s="6" t="s">
        <v>96</v>
      </c>
      <c r="C36" s="31">
        <v>0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</row>
    <row r="37" spans="2:16" ht="15" customHeight="1" outlineLevel="2" x14ac:dyDescent="0.25">
      <c r="B37" s="25" t="s">
        <v>95</v>
      </c>
      <c r="C37" s="7">
        <f t="shared" ref="C37:H37" si="11">SUM(C38:C39)</f>
        <v>0</v>
      </c>
      <c r="D37" s="7">
        <f t="shared" si="11"/>
        <v>0</v>
      </c>
      <c r="E37" s="7">
        <f t="shared" si="11"/>
        <v>320250</v>
      </c>
      <c r="F37" s="7">
        <f t="shared" si="11"/>
        <v>900622</v>
      </c>
      <c r="G37" s="7">
        <f t="shared" si="11"/>
        <v>0</v>
      </c>
      <c r="H37" s="7">
        <f t="shared" si="11"/>
        <v>126760</v>
      </c>
      <c r="P37" s="56"/>
    </row>
    <row r="38" spans="2:16" ht="15" customHeight="1" outlineLevel="3" x14ac:dyDescent="0.25">
      <c r="B38" s="24" t="s">
        <v>94</v>
      </c>
      <c r="C38" s="31">
        <v>0</v>
      </c>
      <c r="D38" s="31">
        <v>0</v>
      </c>
      <c r="E38" s="31">
        <v>320250</v>
      </c>
      <c r="F38" s="31">
        <v>900622</v>
      </c>
      <c r="G38" s="31">
        <v>0</v>
      </c>
      <c r="H38" s="31">
        <v>126760</v>
      </c>
    </row>
    <row r="39" spans="2:16" ht="15" customHeight="1" outlineLevel="3" x14ac:dyDescent="0.25">
      <c r="B39" s="20" t="s">
        <v>126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</row>
    <row r="40" spans="2:16" ht="15" customHeight="1" outlineLevel="1" x14ac:dyDescent="0.25">
      <c r="B40" s="8" t="s">
        <v>93</v>
      </c>
      <c r="C40" s="7">
        <f t="shared" ref="C40:H40" si="12">C41</f>
        <v>-25000</v>
      </c>
      <c r="D40" s="7">
        <f t="shared" si="12"/>
        <v>0</v>
      </c>
      <c r="E40" s="7">
        <f t="shared" si="12"/>
        <v>25000</v>
      </c>
      <c r="F40" s="7">
        <f t="shared" si="12"/>
        <v>0</v>
      </c>
      <c r="G40" s="7">
        <f t="shared" si="12"/>
        <v>100000</v>
      </c>
      <c r="H40" s="7">
        <f t="shared" si="12"/>
        <v>0</v>
      </c>
      <c r="P40" s="56"/>
    </row>
    <row r="41" spans="2:16" ht="15" customHeight="1" outlineLevel="2" x14ac:dyDescent="0.25">
      <c r="B41" s="21" t="s">
        <v>92</v>
      </c>
      <c r="C41" s="18">
        <f t="shared" ref="C41:H41" si="13">C42+C43</f>
        <v>-25000</v>
      </c>
      <c r="D41" s="18">
        <f t="shared" si="13"/>
        <v>0</v>
      </c>
      <c r="E41" s="18">
        <f t="shared" si="13"/>
        <v>25000</v>
      </c>
      <c r="F41" s="18">
        <f t="shared" si="13"/>
        <v>0</v>
      </c>
      <c r="G41" s="18">
        <f t="shared" si="13"/>
        <v>100000</v>
      </c>
      <c r="H41" s="18">
        <f t="shared" si="13"/>
        <v>0</v>
      </c>
    </row>
    <row r="42" spans="2:16" ht="15" customHeight="1" outlineLevel="3" x14ac:dyDescent="0.25">
      <c r="B42" s="20" t="s">
        <v>91</v>
      </c>
      <c r="C42" s="31">
        <v>0</v>
      </c>
      <c r="D42" s="31">
        <v>100000</v>
      </c>
      <c r="E42" s="31">
        <v>125000</v>
      </c>
      <c r="F42" s="31">
        <v>0</v>
      </c>
      <c r="G42" s="31">
        <v>100000</v>
      </c>
      <c r="H42" s="31">
        <v>0</v>
      </c>
    </row>
    <row r="43" spans="2:16" ht="15" customHeight="1" outlineLevel="3" x14ac:dyDescent="0.25">
      <c r="B43" s="24" t="s">
        <v>90</v>
      </c>
      <c r="C43" s="31">
        <v>-25000</v>
      </c>
      <c r="D43" s="31">
        <v>-100000</v>
      </c>
      <c r="E43" s="31">
        <v>-100000</v>
      </c>
      <c r="F43" s="31">
        <v>0</v>
      </c>
      <c r="G43" s="31">
        <v>0</v>
      </c>
      <c r="H43" s="31">
        <v>0</v>
      </c>
    </row>
    <row r="44" spans="2:16" ht="15" customHeight="1" outlineLevel="1" x14ac:dyDescent="0.25">
      <c r="B44" s="8" t="s">
        <v>89</v>
      </c>
      <c r="C44" s="7">
        <f t="shared" ref="C44:H44" si="14">SUM(C45:C46)</f>
        <v>674733.47867569048</v>
      </c>
      <c r="D44" s="7">
        <f t="shared" si="14"/>
        <v>-2466361.4399999995</v>
      </c>
      <c r="E44" s="7">
        <f t="shared" si="14"/>
        <v>198954.11828400928</v>
      </c>
      <c r="F44" s="7">
        <f>SUM(F45:F46)</f>
        <v>-171716.16767912963</v>
      </c>
      <c r="G44" s="7">
        <f t="shared" si="14"/>
        <v>83403.830743979313</v>
      </c>
      <c r="H44" s="7">
        <f t="shared" si="14"/>
        <v>0</v>
      </c>
      <c r="K44" s="35"/>
    </row>
    <row r="45" spans="2:16" ht="15" customHeight="1" outlineLevel="2" x14ac:dyDescent="0.25">
      <c r="B45" s="6" t="s">
        <v>88</v>
      </c>
      <c r="C45" s="31">
        <v>358162.25867569051</v>
      </c>
      <c r="D45" s="31">
        <v>-3020916.4399999995</v>
      </c>
      <c r="E45" s="31">
        <v>-91045.881715990719</v>
      </c>
      <c r="F45" s="31">
        <v>-270443.41767912963</v>
      </c>
      <c r="G45" s="31">
        <v>-93097.169256020687</v>
      </c>
      <c r="H45" s="30">
        <f>-'Change in Equity'!H29</f>
        <v>0</v>
      </c>
    </row>
    <row r="46" spans="2:16" ht="15" customHeight="1" outlineLevel="2" x14ac:dyDescent="0.25">
      <c r="B46" s="4" t="s">
        <v>87</v>
      </c>
      <c r="C46" s="31">
        <v>316571.21999999997</v>
      </c>
      <c r="D46" s="31">
        <v>554555</v>
      </c>
      <c r="E46" s="31">
        <v>290000</v>
      </c>
      <c r="F46" s="31">
        <v>98727.25</v>
      </c>
      <c r="G46" s="31">
        <v>176501</v>
      </c>
      <c r="H46" s="31">
        <v>0</v>
      </c>
      <c r="K46" s="35"/>
    </row>
    <row r="47" spans="2:16" ht="15" customHeight="1" x14ac:dyDescent="0.25">
      <c r="B47" s="16" t="s">
        <v>86</v>
      </c>
      <c r="C47" s="5">
        <f t="shared" ref="C47:G47" si="15">C32+C35+C40+C44</f>
        <v>649733.47867569048</v>
      </c>
      <c r="D47" s="5">
        <f t="shared" ref="D47" si="16">D32+D35+D40+D44</f>
        <v>-2492709.4399999995</v>
      </c>
      <c r="E47" s="5">
        <f t="shared" ref="E47" si="17">E32+E35+E40+E44</f>
        <v>482657.11828400928</v>
      </c>
      <c r="F47" s="5">
        <f>F32+F35+F40+F44</f>
        <v>676253.50232087041</v>
      </c>
      <c r="G47" s="5">
        <f t="shared" si="15"/>
        <v>183403.83074397931</v>
      </c>
      <c r="H47" s="5">
        <f>H32+H35+H40+H44</f>
        <v>126760</v>
      </c>
      <c r="J47" s="56"/>
      <c r="K47" s="56"/>
      <c r="L47" s="56"/>
    </row>
    <row r="48" spans="2:16" ht="15" customHeight="1" x14ac:dyDescent="0.25">
      <c r="B48" s="19" t="s">
        <v>85</v>
      </c>
      <c r="C48" s="5">
        <f t="shared" ref="C48:H48" si="18">C18+C30+C47</f>
        <v>417702.89140441362</v>
      </c>
      <c r="D48" s="5">
        <f t="shared" si="18"/>
        <v>-384381.3063863297</v>
      </c>
      <c r="E48" s="5">
        <f t="shared" si="18"/>
        <v>-498277.49314688263</v>
      </c>
      <c r="F48" s="5">
        <f t="shared" si="18"/>
        <v>917341.61445615999</v>
      </c>
      <c r="G48" s="5">
        <f t="shared" si="18"/>
        <v>263624.23</v>
      </c>
      <c r="H48" s="5">
        <f t="shared" si="18"/>
        <v>126760</v>
      </c>
      <c r="J48" s="56"/>
      <c r="K48" s="35"/>
      <c r="L48" s="56"/>
    </row>
    <row r="49" spans="2:13" ht="15" customHeight="1" x14ac:dyDescent="0.25">
      <c r="B49" s="17" t="s">
        <v>84</v>
      </c>
      <c r="C49" s="7">
        <f t="shared" ref="C49:H49" si="19">C18+C20</f>
        <v>-232030.58727127686</v>
      </c>
      <c r="D49" s="7">
        <f t="shared" si="19"/>
        <v>3088328.1336136698</v>
      </c>
      <c r="E49" s="7">
        <f t="shared" si="19"/>
        <v>163065.38856910809</v>
      </c>
      <c r="F49" s="7">
        <f t="shared" si="19"/>
        <v>701088.11213528959</v>
      </c>
      <c r="G49" s="7">
        <f t="shared" si="19"/>
        <v>100220.39925602064</v>
      </c>
      <c r="H49" s="7">
        <f t="shared" si="19"/>
        <v>0</v>
      </c>
      <c r="K49" s="35"/>
      <c r="L49" s="56"/>
      <c r="M49" s="35"/>
    </row>
    <row r="50" spans="2:13" ht="15" customHeight="1" outlineLevel="1" x14ac:dyDescent="0.25">
      <c r="B50" s="16" t="s">
        <v>83</v>
      </c>
      <c r="C50" s="14">
        <f>C49/'Income Statement'!C44</f>
        <v>-2.9447582111563024</v>
      </c>
      <c r="D50" s="14">
        <f>D49/'Income Statement'!D44</f>
        <v>39.194744697910217</v>
      </c>
      <c r="E50" s="14">
        <f>E49/'Income Statement'!E44</f>
        <v>2.0695036270492464</v>
      </c>
      <c r="F50" s="14">
        <f>F49/'Income Statement'!F44</f>
        <v>9.0139642589844122</v>
      </c>
      <c r="G50" s="14">
        <f>G49/'Income Statement'!G44</f>
        <v>1.5033210220505302</v>
      </c>
      <c r="H50" s="14">
        <f>H49/'Income Statement'!H44</f>
        <v>0</v>
      </c>
      <c r="K50" s="35"/>
      <c r="L50" s="56"/>
    </row>
    <row r="51" spans="2:13" ht="15" customHeight="1" outlineLevel="1" x14ac:dyDescent="0.25">
      <c r="B51" s="13" t="s">
        <v>82</v>
      </c>
      <c r="C51" s="10">
        <f t="shared" ref="C51:H51" si="20">C50/C52</f>
        <v>-6.6174341823737135E-3</v>
      </c>
      <c r="D51" s="10">
        <f t="shared" si="20"/>
        <v>8.8078077972831945E-2</v>
      </c>
      <c r="E51" s="10">
        <f t="shared" si="20"/>
        <v>4.5988969489983251E-3</v>
      </c>
      <c r="F51" s="10">
        <f t="shared" si="20"/>
        <v>9.4933799462711022E-2</v>
      </c>
      <c r="G51" s="10">
        <f t="shared" si="20"/>
        <v>0.79122159055291064</v>
      </c>
      <c r="H51" s="10">
        <f t="shared" si="20"/>
        <v>0</v>
      </c>
      <c r="K51" s="56"/>
      <c r="L51" s="35"/>
    </row>
    <row r="52" spans="2:13" ht="15" customHeight="1" outlineLevel="1" x14ac:dyDescent="0.25">
      <c r="B52" s="13" t="s">
        <v>185</v>
      </c>
      <c r="C52" s="32">
        <v>445</v>
      </c>
      <c r="D52" s="32">
        <v>445</v>
      </c>
      <c r="E52" s="32">
        <v>450</v>
      </c>
      <c r="F52" s="32">
        <v>94.95</v>
      </c>
      <c r="G52" s="32">
        <v>1.9</v>
      </c>
      <c r="H52" s="32">
        <v>1.9</v>
      </c>
      <c r="K52" s="35"/>
      <c r="L52" s="35"/>
    </row>
    <row r="53" spans="2:13" ht="15" customHeight="1" x14ac:dyDescent="0.25">
      <c r="B53" s="2" t="s">
        <v>120</v>
      </c>
      <c r="L53" s="35"/>
    </row>
    <row r="55" spans="2:13" ht="15" customHeight="1" x14ac:dyDescent="0.25">
      <c r="L55" s="35"/>
    </row>
    <row r="56" spans="2:13" ht="15" customHeight="1" x14ac:dyDescent="0.25">
      <c r="L56" s="35"/>
    </row>
    <row r="57" spans="2:13" ht="15" customHeight="1" x14ac:dyDescent="0.25">
      <c r="L57" s="35"/>
    </row>
    <row r="59" spans="2:13" ht="15" customHeight="1" x14ac:dyDescent="0.25">
      <c r="L59" s="56"/>
    </row>
    <row r="60" spans="2:13" ht="15" customHeight="1" x14ac:dyDescent="0.25">
      <c r="L60" s="56"/>
    </row>
    <row r="62" spans="2:13" ht="15" customHeight="1" x14ac:dyDescent="0.25">
      <c r="L62" s="62"/>
    </row>
  </sheetData>
  <mergeCells count="1">
    <mergeCell ref="B1:C1"/>
  </mergeCells>
  <conditionalFormatting sqref="C22:H22">
    <cfRule type="cellIs" dxfId="2" priority="2" operator="lessThan">
      <formula>0</formula>
    </cfRule>
  </conditionalFormatting>
  <conditionalFormatting sqref="C39:H39">
    <cfRule type="cellIs" dxfId="1" priority="1" operator="lessThan">
      <formula>0</formula>
    </cfRule>
  </conditionalFormatting>
  <pageMargins left="0.75" right="0.75" top="1" bottom="1" header="0.5" footer="0.5"/>
  <ignoredErrors>
    <ignoredError sqref="C20 D20:H2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5E44-A039-4D2F-B034-80A56E4366CA}">
  <sheetPr>
    <outlinePr summaryBelow="0" summaryRight="0"/>
  </sheetPr>
  <dimension ref="B1:L40"/>
  <sheetViews>
    <sheetView topLeftCell="A15" workbookViewId="0">
      <selection activeCell="K26" sqref="K26"/>
    </sheetView>
  </sheetViews>
  <sheetFormatPr defaultColWidth="9.109375" defaultRowHeight="15" customHeight="1" outlineLevelRow="1" x14ac:dyDescent="0.25"/>
  <cols>
    <col min="1" max="1" width="9.109375" style="1"/>
    <col min="2" max="2" width="51.33203125" style="1" customWidth="1"/>
    <col min="3" max="3" width="10.77734375" style="1" bestFit="1" customWidth="1"/>
    <col min="4" max="4" width="10.109375" style="1" bestFit="1" customWidth="1"/>
    <col min="5" max="8" width="9.109375" style="1" bestFit="1" customWidth="1"/>
    <col min="9" max="10" width="9.109375" style="1"/>
    <col min="11" max="11" width="19.88671875" style="1" bestFit="1" customWidth="1"/>
    <col min="12" max="12" width="17.33203125" style="1" bestFit="1" customWidth="1"/>
    <col min="13" max="16384" width="9.109375" style="1"/>
  </cols>
  <sheetData>
    <row r="1" spans="2:11" ht="15" customHeight="1" x14ac:dyDescent="0.3">
      <c r="B1" s="101" t="s">
        <v>117</v>
      </c>
      <c r="C1" s="102"/>
      <c r="D1" s="42"/>
      <c r="E1" s="42"/>
      <c r="F1" s="42"/>
      <c r="G1" s="42"/>
      <c r="H1" s="42"/>
    </row>
    <row r="2" spans="2:11" ht="15" customHeight="1" x14ac:dyDescent="0.3">
      <c r="B2" s="43">
        <f>Shareholders!B2</f>
        <v>445</v>
      </c>
    </row>
    <row r="3" spans="2:11" ht="15" customHeight="1" x14ac:dyDescent="0.25">
      <c r="B3" s="23"/>
      <c r="C3" s="23"/>
      <c r="D3" s="23"/>
      <c r="E3" s="23"/>
      <c r="F3" s="23"/>
      <c r="G3" s="23"/>
      <c r="H3" s="23"/>
    </row>
    <row r="5" spans="2:11" ht="15" customHeight="1" x14ac:dyDescent="0.25">
      <c r="B5" s="22" t="s">
        <v>118</v>
      </c>
      <c r="C5" s="22"/>
      <c r="D5" s="22"/>
      <c r="E5" s="22"/>
      <c r="F5" s="22"/>
      <c r="G5" s="22"/>
      <c r="H5" s="22"/>
    </row>
    <row r="6" spans="2:11" ht="15" customHeight="1" x14ac:dyDescent="0.25">
      <c r="B6" s="22" t="s">
        <v>119</v>
      </c>
      <c r="C6" s="22"/>
      <c r="D6" s="22"/>
      <c r="E6" s="22"/>
      <c r="F6" s="22"/>
      <c r="G6" s="22"/>
      <c r="H6" s="22"/>
    </row>
    <row r="7" spans="2:11" ht="15" customHeight="1" x14ac:dyDescent="0.25">
      <c r="B7" s="22"/>
      <c r="C7" s="29">
        <v>45961</v>
      </c>
      <c r="D7" s="29">
        <v>45930</v>
      </c>
      <c r="E7" s="29">
        <v>45900</v>
      </c>
      <c r="F7" s="29">
        <v>45869</v>
      </c>
      <c r="G7" s="29">
        <v>45838</v>
      </c>
      <c r="H7" s="29">
        <v>45808</v>
      </c>
    </row>
    <row r="8" spans="2:11" ht="15" customHeight="1" x14ac:dyDescent="0.25">
      <c r="B8" s="9" t="s">
        <v>140</v>
      </c>
      <c r="C8" s="9"/>
      <c r="D8" s="9"/>
      <c r="E8" s="9"/>
      <c r="F8" s="9"/>
      <c r="G8" s="9"/>
      <c r="H8" s="9"/>
    </row>
    <row r="9" spans="2:11" ht="15" customHeight="1" x14ac:dyDescent="0.25">
      <c r="B9" s="59" t="s">
        <v>186</v>
      </c>
      <c r="C9" s="60">
        <f>D14</f>
        <v>78792.222222222219</v>
      </c>
      <c r="D9" s="60">
        <f>E14</f>
        <v>78792.222222222219</v>
      </c>
      <c r="E9" s="60">
        <f>F14</f>
        <v>77778</v>
      </c>
      <c r="F9" s="60">
        <f>G14</f>
        <v>66666</v>
      </c>
      <c r="G9" s="60">
        <f>H14</f>
        <v>66666</v>
      </c>
      <c r="H9" s="60">
        <v>0</v>
      </c>
    </row>
    <row r="10" spans="2:11" ht="15" customHeight="1" outlineLevel="1" x14ac:dyDescent="0.25">
      <c r="B10" s="4" t="s">
        <v>190</v>
      </c>
      <c r="C10" s="31">
        <v>0</v>
      </c>
      <c r="D10" s="31">
        <v>0</v>
      </c>
      <c r="E10" s="31">
        <v>1016.4444444444443</v>
      </c>
      <c r="F10" s="31">
        <v>11112</v>
      </c>
      <c r="G10" s="31">
        <v>0</v>
      </c>
      <c r="H10" s="31">
        <v>66666</v>
      </c>
    </row>
    <row r="11" spans="2:11" ht="15" customHeight="1" outlineLevel="1" x14ac:dyDescent="0.25">
      <c r="B11" s="6" t="s">
        <v>96</v>
      </c>
      <c r="C11" s="31">
        <v>0</v>
      </c>
      <c r="D11" s="31">
        <v>0</v>
      </c>
      <c r="E11" s="31">
        <v>-2.2222222222189885</v>
      </c>
      <c r="F11" s="31">
        <v>0</v>
      </c>
      <c r="G11" s="31">
        <v>0</v>
      </c>
      <c r="H11" s="31">
        <v>0</v>
      </c>
    </row>
    <row r="12" spans="2:11" ht="15" customHeight="1" outlineLevel="1" x14ac:dyDescent="0.25">
      <c r="B12" s="4" t="s">
        <v>191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</row>
    <row r="13" spans="2:11" ht="15" customHeight="1" outlineLevel="1" x14ac:dyDescent="0.25">
      <c r="B13" s="6" t="s">
        <v>192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</row>
    <row r="14" spans="2:11" ht="15" customHeight="1" x14ac:dyDescent="0.25">
      <c r="B14" s="59" t="s">
        <v>187</v>
      </c>
      <c r="C14" s="60">
        <f>SUM(C9:C13)</f>
        <v>78792.222222222219</v>
      </c>
      <c r="D14" s="60">
        <f>SUM(D9:D13)</f>
        <v>78792.222222222219</v>
      </c>
      <c r="E14" s="60">
        <f>SUM(E9:E13)</f>
        <v>78792.222222222219</v>
      </c>
      <c r="F14" s="60">
        <f>SUM(F9:F13)</f>
        <v>77778</v>
      </c>
      <c r="G14" s="60">
        <f t="shared" ref="G14:H14" si="0">SUM(G9:G13)</f>
        <v>66666</v>
      </c>
      <c r="H14" s="60">
        <f t="shared" si="0"/>
        <v>66666</v>
      </c>
    </row>
    <row r="15" spans="2:11" ht="15" customHeight="1" x14ac:dyDescent="0.25">
      <c r="B15" s="9" t="s">
        <v>188</v>
      </c>
      <c r="C15" s="9"/>
      <c r="D15" s="9"/>
      <c r="E15" s="9"/>
      <c r="F15" s="9"/>
      <c r="G15" s="9"/>
      <c r="H15" s="9"/>
      <c r="K15" s="66"/>
    </row>
    <row r="16" spans="2:11" ht="15" customHeight="1" x14ac:dyDescent="0.25">
      <c r="B16" s="59" t="s">
        <v>186</v>
      </c>
      <c r="C16" s="60">
        <f>D23</f>
        <v>14501510.047288341</v>
      </c>
      <c r="D16" s="60">
        <f>E23</f>
        <v>1301510.047288341</v>
      </c>
      <c r="E16" s="60">
        <f>F23</f>
        <v>982172.82506611897</v>
      </c>
      <c r="F16" s="60">
        <f t="shared" ref="F16" si="1">G23</f>
        <v>91550.825066118909</v>
      </c>
      <c r="G16" s="60">
        <f>H23</f>
        <v>78864.25</v>
      </c>
      <c r="H16" s="60">
        <v>0</v>
      </c>
      <c r="K16" s="56"/>
    </row>
    <row r="17" spans="2:12" ht="15" customHeight="1" outlineLevel="1" x14ac:dyDescent="0.25">
      <c r="B17" s="6" t="s">
        <v>190</v>
      </c>
      <c r="C17" s="31">
        <v>0</v>
      </c>
      <c r="D17" s="31">
        <v>0</v>
      </c>
      <c r="E17" s="31">
        <v>319335</v>
      </c>
      <c r="F17" s="31">
        <v>890622</v>
      </c>
      <c r="G17" s="31">
        <v>0</v>
      </c>
      <c r="H17" s="31">
        <v>78864.25</v>
      </c>
      <c r="K17" s="56"/>
    </row>
    <row r="18" spans="2:12" ht="15" customHeight="1" outlineLevel="1" x14ac:dyDescent="0.25">
      <c r="B18" s="6" t="s">
        <v>96</v>
      </c>
      <c r="C18" s="31">
        <v>0</v>
      </c>
      <c r="D18" s="31">
        <v>0</v>
      </c>
      <c r="E18" s="31">
        <v>2.2222222220152599</v>
      </c>
      <c r="F18" s="31">
        <v>0</v>
      </c>
      <c r="G18" s="31">
        <v>0</v>
      </c>
      <c r="H18" s="31">
        <v>0</v>
      </c>
    </row>
    <row r="19" spans="2:12" ht="15" customHeight="1" outlineLevel="1" x14ac:dyDescent="0.25">
      <c r="B19" s="6" t="s">
        <v>191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L19" s="56"/>
    </row>
    <row r="20" spans="2:12" ht="15" customHeight="1" outlineLevel="1" x14ac:dyDescent="0.25">
      <c r="B20" s="6" t="s">
        <v>192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</row>
    <row r="21" spans="2:12" ht="15" customHeight="1" outlineLevel="1" x14ac:dyDescent="0.25">
      <c r="B21" s="6" t="s">
        <v>195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</row>
    <row r="22" spans="2:12" ht="15" customHeight="1" outlineLevel="1" x14ac:dyDescent="0.25">
      <c r="B22" s="6" t="s">
        <v>193</v>
      </c>
      <c r="C22" s="31">
        <v>-13200000</v>
      </c>
      <c r="D22" s="31">
        <v>13200000</v>
      </c>
      <c r="E22" s="31">
        <v>0</v>
      </c>
      <c r="F22" s="31">
        <v>0</v>
      </c>
      <c r="G22" s="31">
        <v>12686.575066118909</v>
      </c>
      <c r="H22" s="31">
        <v>0</v>
      </c>
      <c r="K22" s="35"/>
    </row>
    <row r="23" spans="2:12" ht="15" customHeight="1" x14ac:dyDescent="0.25">
      <c r="B23" s="59" t="s">
        <v>187</v>
      </c>
      <c r="C23" s="61">
        <f>SUM(C16:C22)</f>
        <v>1301510.0472883414</v>
      </c>
      <c r="D23" s="61">
        <f>SUM(D16:D22)</f>
        <v>14501510.047288341</v>
      </c>
      <c r="E23" s="61">
        <f>SUM(E16:E22)</f>
        <v>1301510.047288341</v>
      </c>
      <c r="F23" s="61">
        <f>SUM(F16:F22)</f>
        <v>982172.82506611897</v>
      </c>
      <c r="G23" s="61">
        <f t="shared" ref="G23:H23" si="2">SUM(G16:G22)</f>
        <v>91550.825066118909</v>
      </c>
      <c r="H23" s="61">
        <f t="shared" si="2"/>
        <v>78864.25</v>
      </c>
      <c r="K23" s="35"/>
    </row>
    <row r="24" spans="2:12" ht="15" customHeight="1" x14ac:dyDescent="0.25">
      <c r="B24" s="17" t="s">
        <v>49</v>
      </c>
      <c r="C24" s="17"/>
      <c r="D24" s="17"/>
      <c r="E24" s="17"/>
      <c r="F24" s="17"/>
      <c r="G24" s="17"/>
      <c r="H24" s="17"/>
      <c r="K24" s="56"/>
    </row>
    <row r="25" spans="2:12" ht="15" customHeight="1" x14ac:dyDescent="0.25">
      <c r="B25" s="59" t="s">
        <v>186</v>
      </c>
      <c r="C25" s="60">
        <f>D32</f>
        <v>79060.614003151655</v>
      </c>
      <c r="D25" s="60">
        <f>E32</f>
        <v>226425.80787829202</v>
      </c>
      <c r="E25" s="60">
        <f>F32</f>
        <v>184629.46555047622</v>
      </c>
      <c r="F25" s="60">
        <f t="shared" ref="F25" si="3">G32</f>
        <v>82054.549181395443</v>
      </c>
      <c r="G25" s="60">
        <f>H32</f>
        <v>0</v>
      </c>
      <c r="H25" s="60">
        <v>0</v>
      </c>
    </row>
    <row r="26" spans="2:12" ht="15" customHeight="1" outlineLevel="1" x14ac:dyDescent="0.25">
      <c r="B26" s="6" t="s">
        <v>13</v>
      </c>
      <c r="C26" s="64">
        <f>'Income Statement'!C41</f>
        <v>-144952.40359863825</v>
      </c>
      <c r="D26" s="64">
        <f>'Income Statement'!D41</f>
        <v>2708563.3386136699</v>
      </c>
      <c r="E26" s="64">
        <f>'Income Statement'!E41</f>
        <v>193784.53740867303</v>
      </c>
      <c r="F26" s="64">
        <f>'Income Statement'!F41</f>
        <v>488668.58392072463</v>
      </c>
      <c r="G26" s="64">
        <v>241179.30363102065</v>
      </c>
      <c r="H26" s="64">
        <v>0</v>
      </c>
    </row>
    <row r="27" spans="2:12" ht="15" customHeight="1" outlineLevel="1" x14ac:dyDescent="0.25">
      <c r="B27" s="4" t="s">
        <v>98</v>
      </c>
      <c r="C27" s="31">
        <v>-53154.975527361399</v>
      </c>
      <c r="D27" s="31">
        <v>-33632.269999999997</v>
      </c>
      <c r="E27" s="31">
        <v>-26348.1</v>
      </c>
      <c r="F27" s="31">
        <v>-61547.873839564898</v>
      </c>
      <c r="G27" s="31">
        <v>-52652.33</v>
      </c>
      <c r="H27" s="31">
        <v>0</v>
      </c>
      <c r="K27" s="56"/>
    </row>
    <row r="28" spans="2:12" ht="15" customHeight="1" outlineLevel="1" x14ac:dyDescent="0.25">
      <c r="B28" s="6" t="s">
        <v>12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L28" s="62"/>
    </row>
    <row r="29" spans="2:12" ht="15" customHeight="1" outlineLevel="1" x14ac:dyDescent="0.25">
      <c r="B29" s="6" t="s">
        <v>194</v>
      </c>
      <c r="C29" s="31">
        <v>-57325.384387715501</v>
      </c>
      <c r="D29" s="31">
        <v>-2822296.2624888103</v>
      </c>
      <c r="E29" s="31">
        <v>-125640.09508085725</v>
      </c>
      <c r="F29" s="31">
        <v>-324545.793712079</v>
      </c>
      <c r="G29" s="31">
        <v>-106472.42444962519</v>
      </c>
      <c r="H29" s="31">
        <v>0</v>
      </c>
      <c r="K29" s="56"/>
      <c r="L29" s="35"/>
    </row>
    <row r="30" spans="2:12" ht="15" customHeight="1" outlineLevel="1" x14ac:dyDescent="0.25">
      <c r="B30" s="6" t="s">
        <v>96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K30" s="56"/>
      <c r="L30" s="56"/>
    </row>
    <row r="31" spans="2:12" ht="15" customHeight="1" outlineLevel="1" x14ac:dyDescent="0.25">
      <c r="B31" s="6" t="s">
        <v>195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K31" s="56"/>
    </row>
    <row r="32" spans="2:12" ht="15" customHeight="1" x14ac:dyDescent="0.25">
      <c r="B32" s="59" t="s">
        <v>187</v>
      </c>
      <c r="C32" s="61">
        <f>SUM(C25:C31)</f>
        <v>-176372.1495105635</v>
      </c>
      <c r="D32" s="61">
        <f>SUM(D25:D31)</f>
        <v>79060.614003151655</v>
      </c>
      <c r="E32" s="61">
        <f>SUM(E25:E31)</f>
        <v>226425.80787829202</v>
      </c>
      <c r="F32" s="61">
        <f>SUM(F25:F31)</f>
        <v>184629.46555047622</v>
      </c>
      <c r="G32" s="61">
        <f t="shared" ref="G32:H32" si="4">SUM(G25:G31)</f>
        <v>82054.549181395443</v>
      </c>
      <c r="H32" s="61">
        <f t="shared" si="4"/>
        <v>0</v>
      </c>
      <c r="K32" s="56"/>
      <c r="L32" s="56"/>
    </row>
    <row r="33" spans="2:12" ht="15" customHeight="1" x14ac:dyDescent="0.25">
      <c r="B33" s="17" t="s">
        <v>189</v>
      </c>
      <c r="C33" s="17"/>
      <c r="D33" s="17"/>
      <c r="E33" s="17"/>
      <c r="F33" s="17"/>
      <c r="G33" s="17"/>
      <c r="H33" s="17"/>
      <c r="K33" s="63"/>
      <c r="L33" s="56"/>
    </row>
    <row r="34" spans="2:12" ht="15" customHeight="1" x14ac:dyDescent="0.25">
      <c r="B34" s="59" t="s">
        <v>186</v>
      </c>
      <c r="C34" s="61">
        <f>D37</f>
        <v>14659362.883513715</v>
      </c>
      <c r="D34" s="61">
        <f>E37</f>
        <v>1606728.0773888552</v>
      </c>
      <c r="E34" s="61">
        <f>F36</f>
        <v>0</v>
      </c>
      <c r="F34" s="61">
        <f>G36</f>
        <v>0</v>
      </c>
      <c r="G34" s="61">
        <f>H36</f>
        <v>0</v>
      </c>
      <c r="H34" s="61">
        <v>0</v>
      </c>
      <c r="J34" s="56"/>
      <c r="K34" s="62"/>
      <c r="L34" s="56"/>
    </row>
    <row r="35" spans="2:12" ht="15" customHeight="1" outlineLevel="1" x14ac:dyDescent="0.25">
      <c r="B35" s="6" t="s">
        <v>196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K35" s="56"/>
    </row>
    <row r="36" spans="2:12" ht="15" customHeight="1" x14ac:dyDescent="0.25">
      <c r="B36" s="59" t="s">
        <v>187</v>
      </c>
      <c r="C36" s="61">
        <f>SUM(C34:C35)</f>
        <v>14659362.883513715</v>
      </c>
      <c r="D36" s="61">
        <f>SUM(D34:D35)</f>
        <v>1606728.0773888552</v>
      </c>
      <c r="E36" s="61">
        <f>SUM(E34:E35)</f>
        <v>0</v>
      </c>
      <c r="F36" s="61">
        <f>SUM(F34:F35)</f>
        <v>0</v>
      </c>
      <c r="G36" s="61">
        <f t="shared" ref="G36:H36" si="5">SUM(G34:G35)</f>
        <v>0</v>
      </c>
      <c r="H36" s="61">
        <f t="shared" si="5"/>
        <v>0</v>
      </c>
      <c r="K36" s="35"/>
    </row>
    <row r="37" spans="2:12" ht="15" customHeight="1" x14ac:dyDescent="0.25">
      <c r="B37" s="17" t="s">
        <v>46</v>
      </c>
      <c r="C37" s="7">
        <f>C14+C23+C32</f>
        <v>1203930.1200000001</v>
      </c>
      <c r="D37" s="7">
        <f>D14+D23+D32</f>
        <v>14659362.883513715</v>
      </c>
      <c r="E37" s="7">
        <f>E14+E23+E32</f>
        <v>1606728.0773888552</v>
      </c>
      <c r="F37" s="7">
        <f>F14+F23+F32</f>
        <v>1244580.2906165952</v>
      </c>
      <c r="G37" s="7">
        <f t="shared" ref="G37:H37" si="6">G14+G23+G32</f>
        <v>240271.37424751435</v>
      </c>
      <c r="H37" s="7">
        <f t="shared" si="6"/>
        <v>145530.25</v>
      </c>
      <c r="J37" s="56"/>
    </row>
    <row r="38" spans="2:12" ht="15" customHeight="1" x14ac:dyDescent="0.25">
      <c r="B38" s="2" t="s">
        <v>120</v>
      </c>
      <c r="K38" s="56"/>
    </row>
    <row r="39" spans="2:12" ht="15" customHeight="1" x14ac:dyDescent="0.25">
      <c r="K39" s="56"/>
    </row>
    <row r="40" spans="2:12" ht="15" customHeight="1" x14ac:dyDescent="0.25">
      <c r="C40" s="1" t="str">
        <f>IF(C37='Balance Sheet'!C100, "OK", C37-'Balance Sheet'!C100)</f>
        <v>OK</v>
      </c>
      <c r="D40" s="1" t="str">
        <f>IF(D37='Balance Sheet'!D100, "OK", D37-'Balance Sheet'!D100)</f>
        <v>OK</v>
      </c>
      <c r="E40" s="1" t="str">
        <f>IF(E37='Balance Sheet'!E100, "OK", E37-'Balance Sheet'!E100)</f>
        <v>OK</v>
      </c>
      <c r="F40" s="1" t="str">
        <f>IF(F37='Balance Sheet'!F100, "OK", F37-'Balance Sheet'!F100)</f>
        <v>OK</v>
      </c>
      <c r="G40" s="1" t="str">
        <f>IF(G37='Balance Sheet'!G100, "OK", G37-'Balance Sheet'!G100)</f>
        <v>OK</v>
      </c>
      <c r="H40" s="1" t="str">
        <f>IF(H37='Balance Sheet'!H100, "OK", H37-'Balance Sheet'!H100)</f>
        <v>OK</v>
      </c>
    </row>
  </sheetData>
  <mergeCells count="1">
    <mergeCell ref="B1:C1"/>
  </mergeCells>
  <conditionalFormatting sqref="C19:H19"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Shareholders</vt:lpstr>
      <vt:lpstr>Income Statement</vt:lpstr>
      <vt:lpstr>Balance Sheet</vt:lpstr>
      <vt:lpstr>Cash Flow</vt:lpstr>
      <vt:lpstr>Change in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Wong</dc:creator>
  <cp:lastModifiedBy>Trevor Wong</cp:lastModifiedBy>
  <dcterms:created xsi:type="dcterms:W3CDTF">2025-07-19T07:04:05Z</dcterms:created>
  <dcterms:modified xsi:type="dcterms:W3CDTF">2025-11-07T05:09:44Z</dcterms:modified>
</cp:coreProperties>
</file>